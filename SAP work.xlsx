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decor-my.sharepoint.com/personal/vijay_savekar_ddecor_com/Documents/Desktop/"/>
    </mc:Choice>
  </mc:AlternateContent>
  <xr:revisionPtr revIDLastSave="0" documentId="8_{D8DF4CE9-9854-4887-8259-FF1370905C03}" xr6:coauthVersionLast="47" xr6:coauthVersionMax="47" xr10:uidLastSave="{00000000-0000-0000-0000-000000000000}"/>
  <bookViews>
    <workbookView xWindow="-110" yWindow="-110" windowWidth="19420" windowHeight="10300" xr2:uid="{DC3BADD1-6857-4E24-8CA0-E57E4AC1E173}"/>
  </bookViews>
  <sheets>
    <sheet name="SAP WO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7" i="1" l="1"/>
  <c r="AA17" i="1"/>
  <c r="W17" i="1"/>
  <c r="X17" i="1" s="1"/>
  <c r="U17" i="1"/>
  <c r="S17" i="1"/>
  <c r="Q17" i="1"/>
  <c r="O17" i="1"/>
  <c r="M17" i="1"/>
  <c r="K17" i="1"/>
  <c r="I17" i="1"/>
  <c r="G17" i="1"/>
  <c r="E17" i="1"/>
  <c r="AD16" i="1"/>
  <c r="AA16" i="1"/>
  <c r="W16" i="1"/>
  <c r="X16" i="1" s="1"/>
  <c r="U16" i="1"/>
  <c r="S16" i="1"/>
  <c r="Q16" i="1"/>
  <c r="O16" i="1"/>
  <c r="M16" i="1"/>
  <c r="K16" i="1"/>
  <c r="I16" i="1"/>
  <c r="G16" i="1"/>
  <c r="E16" i="1"/>
  <c r="AD15" i="1"/>
  <c r="AA15" i="1"/>
  <c r="W15" i="1"/>
  <c r="X15" i="1" s="1"/>
  <c r="U15" i="1"/>
  <c r="S15" i="1"/>
  <c r="Q15" i="1"/>
  <c r="O15" i="1"/>
  <c r="M15" i="1"/>
  <c r="K15" i="1"/>
  <c r="I15" i="1"/>
  <c r="G15" i="1"/>
  <c r="E15" i="1"/>
  <c r="AD14" i="1"/>
  <c r="AA14" i="1"/>
  <c r="W14" i="1"/>
  <c r="X14" i="1" s="1"/>
  <c r="U14" i="1"/>
  <c r="S14" i="1"/>
  <c r="Q14" i="1"/>
  <c r="O14" i="1"/>
  <c r="M14" i="1"/>
  <c r="K14" i="1"/>
  <c r="I14" i="1"/>
  <c r="G14" i="1"/>
  <c r="E14" i="1"/>
</calcChain>
</file>

<file path=xl/sharedStrings.xml><?xml version="1.0" encoding="utf-8"?>
<sst xmlns="http://schemas.openxmlformats.org/spreadsheetml/2006/main" count="161" uniqueCount="130">
  <si>
    <t xml:space="preserve">Format for Yarn Price Comparision </t>
  </si>
  <si>
    <t>Mat Code</t>
  </si>
  <si>
    <t>Description</t>
  </si>
  <si>
    <t>Required Qty.in Kg</t>
  </si>
  <si>
    <t>Last PO Price/Kg</t>
  </si>
  <si>
    <t>Last PO Date</t>
  </si>
  <si>
    <t>Last Supplier</t>
  </si>
  <si>
    <t>Supplier 1</t>
  </si>
  <si>
    <t>Supplier 2</t>
  </si>
  <si>
    <t>Supplier 3</t>
  </si>
  <si>
    <t>50302SP0</t>
  </si>
  <si>
    <t>2/30 SPUN POLYESTER KNOTLESS</t>
  </si>
  <si>
    <t>Gima Tex</t>
  </si>
  <si>
    <t>Name</t>
  </si>
  <si>
    <t>Gimatex</t>
  </si>
  <si>
    <t>RSWM</t>
  </si>
  <si>
    <t>Nitin Spinners</t>
  </si>
  <si>
    <t>Price</t>
  </si>
  <si>
    <t>175+GST</t>
  </si>
  <si>
    <t>180+GST</t>
  </si>
  <si>
    <t>185+GST</t>
  </si>
  <si>
    <t>Leat Time</t>
  </si>
  <si>
    <t>15 Days</t>
  </si>
  <si>
    <t>20 Days</t>
  </si>
  <si>
    <t>25 Days</t>
  </si>
  <si>
    <t>Paymet Term</t>
  </si>
  <si>
    <t>30 Days</t>
  </si>
  <si>
    <t>Remarks</t>
  </si>
  <si>
    <t>Raw Material Price Trend</t>
  </si>
  <si>
    <t>Candy Weight</t>
  </si>
  <si>
    <t>Date</t>
  </si>
  <si>
    <t>Dollar price</t>
  </si>
  <si>
    <t>Cotlook  A Index (Cents/lbs)</t>
  </si>
  <si>
    <t>Rs/candy</t>
  </si>
  <si>
    <t xml:space="preserve">ICE Prices (May'18) - (Cents/lbs) </t>
  </si>
  <si>
    <t>Shankar 6 - 29mm (Candy)</t>
  </si>
  <si>
    <t>Shankar 6 - 29mm (Per Kg)</t>
  </si>
  <si>
    <t>MECH - 30 MM  (Candy)</t>
  </si>
  <si>
    <t>MECH - 30 MM  (Per Kg)</t>
  </si>
  <si>
    <t>MCU 5-31mm  (Candy)</t>
  </si>
  <si>
    <t>MCU 5-31mm  (Per Kg)</t>
  </si>
  <si>
    <t>DCH 32-34mm  (Candy)</t>
  </si>
  <si>
    <t>DCH 32-34mm  (Per Kg)</t>
  </si>
  <si>
    <t>Organic Premium  (Candy)</t>
  </si>
  <si>
    <t>Organic Premium  (Per Kg)</t>
  </si>
  <si>
    <t>Fair Trade Cotton Premium (Candy)</t>
  </si>
  <si>
    <t>Fair Trade Cotton Premium (Per Kg)</t>
  </si>
  <si>
    <t>BCI Cotton Premium  (Candy)</t>
  </si>
  <si>
    <t>BCI Cotton Premium  (Per Kg)</t>
  </si>
  <si>
    <t>Australian Cotton- 30mm (Cents/lbs)</t>
  </si>
  <si>
    <t>Australian Cotton - Cents/lbs- 29mm  (Candy)</t>
  </si>
  <si>
    <t>Australian Cotton - 29mm  (Per Kg)</t>
  </si>
  <si>
    <t>EMOT (28-29 mm) - Cents/lbs</t>
  </si>
  <si>
    <t>EMOT (28-29 mm)  (Candy)</t>
  </si>
  <si>
    <t>EMOT (28-29 mm)  (Per Kg)</t>
  </si>
  <si>
    <t>African Cotton (29 mm) - Cent/lbs</t>
  </si>
  <si>
    <t>African Cotton (29 mm)  (Candy)</t>
  </si>
  <si>
    <t>African Cotton (29 mm)  (Per Kg)</t>
  </si>
  <si>
    <t xml:space="preserve">Linen Price Euro/kg (Long Fibre) Europe </t>
  </si>
  <si>
    <t>Viscose (1.2D)</t>
  </si>
  <si>
    <t>Droppings Rs/Kg</t>
  </si>
  <si>
    <t>Flat strip Rs/Kg</t>
  </si>
  <si>
    <t>Comber noil Rs/Kg</t>
  </si>
  <si>
    <t>Roving Ends Rs/Kg</t>
  </si>
  <si>
    <t>Hard Waste Rs/Kg</t>
  </si>
  <si>
    <t>Fan / Sweeping Waste Rs/Kg</t>
  </si>
  <si>
    <t>Fillter Plant Dust Rs/Kg</t>
  </si>
  <si>
    <t>PTA/kg (86%)</t>
  </si>
  <si>
    <t>MEG/Kg (34%)</t>
  </si>
  <si>
    <t>Melt/Kg</t>
  </si>
  <si>
    <t>1.4 Denier SD</t>
  </si>
  <si>
    <t>1.2 Denier SD</t>
  </si>
  <si>
    <t>1.0 Denier SD</t>
  </si>
  <si>
    <t>BRENT CRUDE / BARREL (1B=119.24 Lt) In $</t>
  </si>
  <si>
    <t xml:space="preserve">Yarn Market Price Trend </t>
  </si>
  <si>
    <t>Standard Description</t>
  </si>
  <si>
    <t>Mat code</t>
  </si>
  <si>
    <t>Material</t>
  </si>
  <si>
    <t>Supplier</t>
  </si>
  <si>
    <t>31-04-2026</t>
  </si>
  <si>
    <t>01.01.2026</t>
  </si>
  <si>
    <t>01.12.2025</t>
  </si>
  <si>
    <t>01.11.2025</t>
  </si>
  <si>
    <t>30.08.2025</t>
  </si>
  <si>
    <t>01.08.2025</t>
  </si>
  <si>
    <t>01.07.2025</t>
  </si>
  <si>
    <t>04.06.2025</t>
  </si>
  <si>
    <t>01.04.2025</t>
  </si>
  <si>
    <t>01.03.2025</t>
  </si>
  <si>
    <t>15.02.2025</t>
  </si>
  <si>
    <t>01.02.2025</t>
  </si>
  <si>
    <t>15.01.2025</t>
  </si>
  <si>
    <t>COTTON</t>
  </si>
  <si>
    <t>50301SCC</t>
  </si>
  <si>
    <t>50301SCC 1/30 Combed Compact Cotton Yarn</t>
  </si>
  <si>
    <t>Cotton</t>
  </si>
  <si>
    <t>50401SCC</t>
  </si>
  <si>
    <t>50401SCC 1/40 Combed Compact RS Wvg Cotton</t>
  </si>
  <si>
    <t>50062CRS</t>
  </si>
  <si>
    <t>50062CRS 2/6 KARDED COTTON (1PLY SLUB)</t>
  </si>
  <si>
    <t>50D61CCV</t>
  </si>
  <si>
    <t>50D61CCV 0.6 Combed Cotton Roving</t>
  </si>
  <si>
    <t>50201SC0</t>
  </si>
  <si>
    <t>50201SC0 1/20 Combed RS Wvg Cotton</t>
  </si>
  <si>
    <t>50162CWS</t>
  </si>
  <si>
    <t>50162CWS 2/16 Combed Slub Yarn (16CW Slub+16 CW)</t>
  </si>
  <si>
    <t>LINEN</t>
  </si>
  <si>
    <t>50161SLL</t>
  </si>
  <si>
    <t>50161SLL 16 LEA LINEN BLEACH SEMI LONG</t>
  </si>
  <si>
    <t>Linen</t>
  </si>
  <si>
    <t>LINEN COTTON</t>
  </si>
  <si>
    <t>52200F298</t>
  </si>
  <si>
    <t>52200F298 2000d SF 298 COTTON LINEN 85/15</t>
  </si>
  <si>
    <t>Blends</t>
  </si>
  <si>
    <t>LINEN POLYESTER</t>
  </si>
  <si>
    <t>50D61RPL</t>
  </si>
  <si>
    <t>50D61RPL 0.6 HANK POLY LINEN ROVING 85/15</t>
  </si>
  <si>
    <t>Polyester</t>
  </si>
  <si>
    <t>POLY COTT</t>
  </si>
  <si>
    <t>50162SPRF</t>
  </si>
  <si>
    <t>50162SPRF 2/16 SPARROW PC 50/50 CONTMINATION FREE</t>
  </si>
  <si>
    <t>Certificate Follou Up</t>
  </si>
  <si>
    <t>Certificate Details</t>
  </si>
  <si>
    <t>Issued By</t>
  </si>
  <si>
    <t>Date of Issued</t>
  </si>
  <si>
    <t>Date of Expired</t>
  </si>
  <si>
    <t>Remark</t>
  </si>
  <si>
    <t xml:space="preserve">Oeko Tex </t>
  </si>
  <si>
    <t>GOTS</t>
  </si>
  <si>
    <t xml:space="preserve">GRS Scope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</si>
</sst>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/yy;@"/>
    <numFmt numFmtId="165" formatCode="0.0"/>
    <numFmt numFmtId="166" formatCode="mm/dd/yy;@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Times New Roman"/>
      <family val="1"/>
    </font>
    <font>
      <b/>
      <i/>
      <sz val="14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u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indent="1"/>
    </xf>
    <xf numFmtId="164" fontId="7" fillId="4" borderId="1" xfId="0" applyNumberFormat="1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164" fontId="10" fillId="4" borderId="1" xfId="0" applyNumberFormat="1" applyFont="1" applyFill="1" applyBorder="1" applyAlignment="1">
      <alignment horizontal="left" vertical="center" wrapText="1" indent="1"/>
    </xf>
    <xf numFmtId="0" fontId="10" fillId="5" borderId="1" xfId="0" applyFon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1" fontId="10" fillId="7" borderId="1" xfId="0" applyNumberFormat="1" applyFont="1" applyFill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5" fontId="11" fillId="5" borderId="1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8" borderId="1" xfId="0" applyFont="1" applyFill="1" applyBorder="1" applyAlignment="1">
      <alignment horizontal="left" vertical="center" wrapText="1"/>
    </xf>
    <xf numFmtId="14" fontId="14" fillId="9" borderId="1" xfId="0" applyNumberFormat="1" applyFont="1" applyFill="1" applyBorder="1" applyAlignment="1">
      <alignment horizontal="left" vertical="center" wrapText="1"/>
    </xf>
    <xf numFmtId="14" fontId="14" fillId="8" borderId="1" xfId="0" applyNumberFormat="1" applyFont="1" applyFill="1" applyBorder="1" applyAlignment="1">
      <alignment horizontal="left" vertical="center" wrapText="1"/>
    </xf>
    <xf numFmtId="166" fontId="14" fillId="10" borderId="1" xfId="0" applyNumberFormat="1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/>
    </xf>
    <xf numFmtId="1" fontId="13" fillId="0" borderId="1" xfId="0" applyNumberFormat="1" applyFont="1" applyBorder="1" applyAlignment="1">
      <alignment horizontal="left"/>
    </xf>
    <xf numFmtId="9" fontId="13" fillId="0" borderId="1" xfId="0" applyNumberFormat="1" applyFont="1" applyBorder="1" applyAlignment="1">
      <alignment horizontal="left"/>
    </xf>
    <xf numFmtId="0" fontId="15" fillId="0" borderId="0" xfId="0" applyFont="1" applyAlignment="1">
      <alignment horizontal="left"/>
    </xf>
    <xf numFmtId="0" fontId="1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DFBC-1B9D-46B9-9467-4630DE883398}">
  <dimension ref="B1:AT39"/>
  <sheetViews>
    <sheetView tabSelected="1" topLeftCell="A16" workbookViewId="0">
      <selection activeCell="E26" sqref="E26"/>
    </sheetView>
  </sheetViews>
  <sheetFormatPr defaultRowHeight="14.5"/>
  <cols>
    <col min="1" max="1" width="2.54296875" customWidth="1"/>
    <col min="2" max="2" width="11.1796875" customWidth="1"/>
    <col min="3" max="3" width="28.26953125" bestFit="1" customWidth="1"/>
    <col min="4" max="4" width="15.90625" customWidth="1"/>
    <col min="5" max="5" width="13.7265625" bestFit="1" customWidth="1"/>
    <col min="6" max="6" width="15.1796875" customWidth="1"/>
    <col min="7" max="7" width="11.90625" customWidth="1"/>
    <col min="8" max="11" width="13.1796875" bestFit="1" customWidth="1"/>
    <col min="12" max="12" width="14.36328125" customWidth="1"/>
    <col min="13" max="13" width="13.6328125" customWidth="1"/>
    <col min="23" max="23" width="11" customWidth="1"/>
    <col min="24" max="24" width="11.453125" customWidth="1"/>
    <col min="25" max="25" width="12.7265625" customWidth="1"/>
    <col min="27" max="27" width="10.36328125" customWidth="1"/>
    <col min="28" max="28" width="11.26953125" customWidth="1"/>
    <col min="30" max="30" width="11.453125" customWidth="1"/>
    <col min="46" max="46" width="14.6328125" customWidth="1"/>
  </cols>
  <sheetData>
    <row r="1" spans="2:46">
      <c r="B1" s="1" t="s">
        <v>0</v>
      </c>
    </row>
    <row r="3" spans="2:46" s="4" customFormat="1" ht="29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  <c r="I3" s="2" t="s">
        <v>2</v>
      </c>
      <c r="J3" s="3" t="s">
        <v>8</v>
      </c>
      <c r="K3" s="2" t="s">
        <v>2</v>
      </c>
      <c r="L3" s="3" t="s">
        <v>9</v>
      </c>
      <c r="M3" s="2" t="s">
        <v>2</v>
      </c>
    </row>
    <row r="4" spans="2:46">
      <c r="B4" s="5" t="s">
        <v>10</v>
      </c>
      <c r="C4" s="6" t="s">
        <v>11</v>
      </c>
      <c r="D4" s="7">
        <v>5000</v>
      </c>
      <c r="E4" s="7">
        <v>175</v>
      </c>
      <c r="F4" s="8">
        <v>46054</v>
      </c>
      <c r="G4" s="7" t="s">
        <v>12</v>
      </c>
      <c r="H4" s="9" t="s">
        <v>13</v>
      </c>
      <c r="I4" s="7" t="s">
        <v>14</v>
      </c>
      <c r="J4" s="9" t="s">
        <v>13</v>
      </c>
      <c r="K4" s="7" t="s">
        <v>15</v>
      </c>
      <c r="L4" s="9" t="s">
        <v>13</v>
      </c>
      <c r="M4" s="7" t="s">
        <v>16</v>
      </c>
    </row>
    <row r="5" spans="2:46">
      <c r="B5" s="10"/>
      <c r="C5" s="10"/>
      <c r="D5" s="9"/>
      <c r="E5" s="9"/>
      <c r="F5" s="9"/>
      <c r="G5" s="9"/>
      <c r="H5" s="11" t="s">
        <v>17</v>
      </c>
      <c r="I5" s="7" t="s">
        <v>18</v>
      </c>
      <c r="J5" s="11" t="s">
        <v>17</v>
      </c>
      <c r="K5" s="7" t="s">
        <v>19</v>
      </c>
      <c r="L5" s="11" t="s">
        <v>17</v>
      </c>
      <c r="M5" s="7" t="s">
        <v>20</v>
      </c>
    </row>
    <row r="6" spans="2:46">
      <c r="B6" s="10"/>
      <c r="C6" s="10"/>
      <c r="D6" s="9"/>
      <c r="E6" s="9"/>
      <c r="F6" s="9"/>
      <c r="G6" s="9"/>
      <c r="H6" s="11" t="s">
        <v>21</v>
      </c>
      <c r="I6" s="7" t="s">
        <v>22</v>
      </c>
      <c r="J6" s="11" t="s">
        <v>21</v>
      </c>
      <c r="K6" s="7" t="s">
        <v>23</v>
      </c>
      <c r="L6" s="11" t="s">
        <v>21</v>
      </c>
      <c r="M6" s="7" t="s">
        <v>24</v>
      </c>
    </row>
    <row r="7" spans="2:46">
      <c r="B7" s="10"/>
      <c r="C7" s="10"/>
      <c r="D7" s="9"/>
      <c r="E7" s="9"/>
      <c r="F7" s="9"/>
      <c r="G7" s="9"/>
      <c r="H7" s="9" t="s">
        <v>25</v>
      </c>
      <c r="I7" s="7" t="s">
        <v>26</v>
      </c>
      <c r="J7" s="9" t="s">
        <v>25</v>
      </c>
      <c r="K7" s="7" t="s">
        <v>26</v>
      </c>
      <c r="L7" s="9" t="s">
        <v>25</v>
      </c>
      <c r="M7" s="7" t="s">
        <v>26</v>
      </c>
    </row>
    <row r="8" spans="2:46">
      <c r="B8" s="10"/>
      <c r="C8" s="10"/>
      <c r="D8" s="10"/>
      <c r="E8" s="10"/>
      <c r="F8" s="10"/>
      <c r="G8" s="10"/>
      <c r="H8" s="12" t="s">
        <v>27</v>
      </c>
      <c r="I8" s="10"/>
      <c r="J8" s="12" t="s">
        <v>27</v>
      </c>
      <c r="K8" s="10"/>
      <c r="L8" s="12" t="s">
        <v>27</v>
      </c>
      <c r="M8" s="10"/>
    </row>
    <row r="11" spans="2:46" ht="18.5">
      <c r="B11" s="13" t="s">
        <v>28</v>
      </c>
      <c r="E11" s="14" t="s">
        <v>29</v>
      </c>
      <c r="F11" s="15"/>
      <c r="G11" s="16">
        <v>355.62</v>
      </c>
    </row>
    <row r="13" spans="2:46" s="25" customFormat="1" ht="78">
      <c r="B13" s="17" t="s">
        <v>30</v>
      </c>
      <c r="C13" s="18" t="s">
        <v>31</v>
      </c>
      <c r="D13" s="18" t="s">
        <v>32</v>
      </c>
      <c r="E13" s="19" t="s">
        <v>33</v>
      </c>
      <c r="F13" s="20" t="s">
        <v>34</v>
      </c>
      <c r="G13" s="19" t="s">
        <v>33</v>
      </c>
      <c r="H13" s="18" t="s">
        <v>35</v>
      </c>
      <c r="I13" s="21" t="s">
        <v>36</v>
      </c>
      <c r="J13" s="18" t="s">
        <v>37</v>
      </c>
      <c r="K13" s="21" t="s">
        <v>38</v>
      </c>
      <c r="L13" s="18" t="s">
        <v>39</v>
      </c>
      <c r="M13" s="21" t="s">
        <v>40</v>
      </c>
      <c r="N13" s="18" t="s">
        <v>41</v>
      </c>
      <c r="O13" s="21" t="s">
        <v>42</v>
      </c>
      <c r="P13" s="20" t="s">
        <v>43</v>
      </c>
      <c r="Q13" s="21" t="s">
        <v>44</v>
      </c>
      <c r="R13" s="20" t="s">
        <v>45</v>
      </c>
      <c r="S13" s="21" t="s">
        <v>46</v>
      </c>
      <c r="T13" s="20" t="s">
        <v>47</v>
      </c>
      <c r="U13" s="21" t="s">
        <v>48</v>
      </c>
      <c r="V13" s="20" t="s">
        <v>49</v>
      </c>
      <c r="W13" s="19" t="s">
        <v>50</v>
      </c>
      <c r="X13" s="21" t="s">
        <v>51</v>
      </c>
      <c r="Y13" s="20" t="s">
        <v>52</v>
      </c>
      <c r="Z13" s="19" t="s">
        <v>53</v>
      </c>
      <c r="AA13" s="21" t="s">
        <v>54</v>
      </c>
      <c r="AB13" s="18" t="s">
        <v>55</v>
      </c>
      <c r="AC13" s="19" t="s">
        <v>56</v>
      </c>
      <c r="AD13" s="21" t="s">
        <v>57</v>
      </c>
      <c r="AE13" s="22" t="s">
        <v>58</v>
      </c>
      <c r="AF13" s="22" t="s">
        <v>59</v>
      </c>
      <c r="AG13" s="20" t="s">
        <v>60</v>
      </c>
      <c r="AH13" s="20" t="s">
        <v>61</v>
      </c>
      <c r="AI13" s="20" t="s">
        <v>62</v>
      </c>
      <c r="AJ13" s="20" t="s">
        <v>63</v>
      </c>
      <c r="AK13" s="20" t="s">
        <v>64</v>
      </c>
      <c r="AL13" s="20" t="s">
        <v>65</v>
      </c>
      <c r="AM13" s="20" t="s">
        <v>66</v>
      </c>
      <c r="AN13" s="23" t="s">
        <v>67</v>
      </c>
      <c r="AO13" s="23" t="s">
        <v>68</v>
      </c>
      <c r="AP13" s="20" t="s">
        <v>69</v>
      </c>
      <c r="AQ13" s="24" t="s">
        <v>70</v>
      </c>
      <c r="AR13" s="24" t="s">
        <v>71</v>
      </c>
      <c r="AS13" s="24" t="s">
        <v>72</v>
      </c>
      <c r="AT13" s="20" t="s">
        <v>73</v>
      </c>
    </row>
    <row r="14" spans="2:46">
      <c r="B14" s="26">
        <v>44564</v>
      </c>
      <c r="C14" s="27">
        <v>74.260000000000005</v>
      </c>
      <c r="D14" s="28">
        <v>127.2</v>
      </c>
      <c r="E14" s="29">
        <f>C14*$G$11*D14/0.4536/100</f>
        <v>74055.136698412694</v>
      </c>
      <c r="F14" s="30">
        <v>113.65</v>
      </c>
      <c r="G14" s="29">
        <f>C14*$G$11*F14/0.4536/100</f>
        <v>66166.40161772487</v>
      </c>
      <c r="H14" s="27">
        <v>72000</v>
      </c>
      <c r="I14" s="31">
        <f>H14/355.62</f>
        <v>202.46330352623588</v>
      </c>
      <c r="J14" s="27">
        <v>72000</v>
      </c>
      <c r="K14" s="31">
        <f>J14/355.62</f>
        <v>202.46330352623588</v>
      </c>
      <c r="L14" s="27">
        <v>75000</v>
      </c>
      <c r="M14" s="31">
        <f>L14/355.62</f>
        <v>210.89927450649569</v>
      </c>
      <c r="N14" s="27">
        <v>127000</v>
      </c>
      <c r="O14" s="31">
        <f>N14/355.62</f>
        <v>357.12277149766606</v>
      </c>
      <c r="P14" s="29">
        <v>30000</v>
      </c>
      <c r="Q14" s="31">
        <f>P14/355.62</f>
        <v>84.359709802598275</v>
      </c>
      <c r="R14" s="29">
        <v>6000</v>
      </c>
      <c r="S14" s="31">
        <f>R14/355.62</f>
        <v>16.871941960519656</v>
      </c>
      <c r="T14" s="29">
        <v>1500</v>
      </c>
      <c r="U14" s="31">
        <f>T14/355.62</f>
        <v>4.2179854901299141</v>
      </c>
      <c r="V14" s="30">
        <v>134.05000000000001</v>
      </c>
      <c r="W14" s="29">
        <f>C14*$G$11*V14/0.4536/100</f>
        <v>78043.168824074077</v>
      </c>
      <c r="X14" s="31">
        <f>W14/355.62</f>
        <v>219.45663580246915</v>
      </c>
      <c r="Y14" s="30"/>
      <c r="Z14" s="29"/>
      <c r="AA14" s="31">
        <f>Z14/355.62</f>
        <v>0</v>
      </c>
      <c r="AB14" s="27"/>
      <c r="AC14" s="29"/>
      <c r="AD14" s="31">
        <f>AC14/355.62</f>
        <v>0</v>
      </c>
      <c r="AE14" s="29"/>
      <c r="AF14" s="29"/>
      <c r="AG14" s="29">
        <v>30</v>
      </c>
      <c r="AH14" s="29">
        <v>73</v>
      </c>
      <c r="AI14" s="29">
        <v>91</v>
      </c>
      <c r="AJ14" s="29">
        <v>141</v>
      </c>
      <c r="AK14" s="29">
        <v>106</v>
      </c>
      <c r="AL14" s="29">
        <v>17</v>
      </c>
      <c r="AM14" s="29">
        <v>4.5</v>
      </c>
      <c r="AN14" s="32">
        <v>74.8</v>
      </c>
      <c r="AO14" s="32">
        <v>57.9</v>
      </c>
      <c r="AP14" s="33">
        <v>84.3</v>
      </c>
      <c r="AQ14" s="32">
        <v>99.7</v>
      </c>
      <c r="AR14" s="32">
        <v>99.5</v>
      </c>
      <c r="AS14" s="32">
        <v>104.25</v>
      </c>
      <c r="AT14" s="32"/>
    </row>
    <row r="15" spans="2:46">
      <c r="B15" s="26">
        <v>44573</v>
      </c>
      <c r="C15" s="27">
        <v>73.989999999999995</v>
      </c>
      <c r="D15" s="28">
        <v>128.15</v>
      </c>
      <c r="E15" s="29">
        <f t="shared" ref="E15:E17" si="0">C15*$G$11*D15/0.4536/100</f>
        <v>74336.955356481485</v>
      </c>
      <c r="F15" s="30">
        <v>116.4</v>
      </c>
      <c r="G15" s="29">
        <f t="shared" ref="G15:G17" si="1">C15*$G$11*F15/0.4536/100</f>
        <v>67521.042555555556</v>
      </c>
      <c r="H15" s="27">
        <v>74500</v>
      </c>
      <c r="I15" s="31">
        <f t="shared" ref="I15:I17" si="2">H15/355.62</f>
        <v>209.49327934311907</v>
      </c>
      <c r="J15" s="27">
        <v>74500</v>
      </c>
      <c r="K15" s="31">
        <f t="shared" ref="K15:K17" si="3">J15/355.62</f>
        <v>209.49327934311907</v>
      </c>
      <c r="L15" s="27">
        <v>77500</v>
      </c>
      <c r="M15" s="31">
        <f t="shared" ref="M15:M17" si="4">L15/355.62</f>
        <v>217.92925032337888</v>
      </c>
      <c r="N15" s="27">
        <v>127000</v>
      </c>
      <c r="O15" s="31">
        <f t="shared" ref="O15:O17" si="5">N15/355.62</f>
        <v>357.12277149766606</v>
      </c>
      <c r="P15" s="29">
        <v>30000</v>
      </c>
      <c r="Q15" s="31">
        <f t="shared" ref="Q15:Q17" si="6">P15/355.62</f>
        <v>84.359709802598275</v>
      </c>
      <c r="R15" s="29">
        <v>6000</v>
      </c>
      <c r="S15" s="31">
        <f t="shared" ref="S15:S17" si="7">R15/355.62</f>
        <v>16.871941960519656</v>
      </c>
      <c r="T15" s="29">
        <v>1500</v>
      </c>
      <c r="U15" s="31">
        <f t="shared" ref="U15:U17" si="8">T15/355.62</f>
        <v>4.2179854901299141</v>
      </c>
      <c r="V15" s="30">
        <v>138</v>
      </c>
      <c r="W15" s="29">
        <f t="shared" ref="W15:W17" si="9">C15*$G$11*V15/0.4536/100</f>
        <v>80050.720555555556</v>
      </c>
      <c r="X15" s="31">
        <f t="shared" ref="X15:X17" si="10">W15/355.62</f>
        <v>225.10185185185185</v>
      </c>
      <c r="Y15" s="30"/>
      <c r="Z15" s="29"/>
      <c r="AA15" s="31">
        <f t="shared" ref="AA15:AA17" si="11">Z15/355.62</f>
        <v>0</v>
      </c>
      <c r="AB15" s="27"/>
      <c r="AC15" s="29"/>
      <c r="AD15" s="31">
        <f t="shared" ref="AD15:AD17" si="12">AC15/355.62</f>
        <v>0</v>
      </c>
      <c r="AE15" s="29"/>
      <c r="AF15" s="29"/>
      <c r="AG15" s="29">
        <v>30</v>
      </c>
      <c r="AH15" s="29">
        <v>73</v>
      </c>
      <c r="AI15" s="29">
        <v>95</v>
      </c>
      <c r="AJ15" s="29">
        <v>141</v>
      </c>
      <c r="AK15" s="29">
        <v>106</v>
      </c>
      <c r="AL15" s="29">
        <v>17</v>
      </c>
      <c r="AM15" s="29">
        <v>4.5</v>
      </c>
      <c r="AN15" s="32">
        <v>76.3</v>
      </c>
      <c r="AO15" s="32">
        <v>60.2</v>
      </c>
      <c r="AP15" s="33">
        <v>86.08</v>
      </c>
      <c r="AQ15" s="32">
        <v>99.7</v>
      </c>
      <c r="AR15" s="32">
        <v>99.5</v>
      </c>
      <c r="AS15" s="32">
        <v>104.25</v>
      </c>
      <c r="AT15" s="32"/>
    </row>
    <row r="16" spans="2:46">
      <c r="B16" s="26">
        <v>44578</v>
      </c>
      <c r="C16" s="27">
        <v>74.23</v>
      </c>
      <c r="D16" s="28">
        <v>130.44999999999999</v>
      </c>
      <c r="E16" s="29">
        <f t="shared" si="0"/>
        <v>75916.587095899464</v>
      </c>
      <c r="F16" s="30">
        <v>118.02</v>
      </c>
      <c r="G16" s="29">
        <f t="shared" si="1"/>
        <v>68682.833338888886</v>
      </c>
      <c r="H16" s="27">
        <v>75200</v>
      </c>
      <c r="I16" s="31">
        <f t="shared" si="2"/>
        <v>211.46167257184635</v>
      </c>
      <c r="J16" s="27">
        <v>75200</v>
      </c>
      <c r="K16" s="31">
        <f t="shared" si="3"/>
        <v>211.46167257184635</v>
      </c>
      <c r="L16" s="27">
        <v>78200</v>
      </c>
      <c r="M16" s="31">
        <f t="shared" si="4"/>
        <v>219.89764355210619</v>
      </c>
      <c r="N16" s="27">
        <v>125000</v>
      </c>
      <c r="O16" s="31">
        <f t="shared" si="5"/>
        <v>351.49879084415949</v>
      </c>
      <c r="P16" s="29">
        <v>30000</v>
      </c>
      <c r="Q16" s="31">
        <f t="shared" si="6"/>
        <v>84.359709802598275</v>
      </c>
      <c r="R16" s="29">
        <v>6000</v>
      </c>
      <c r="S16" s="31">
        <f t="shared" si="7"/>
        <v>16.871941960519656</v>
      </c>
      <c r="T16" s="29">
        <v>1500</v>
      </c>
      <c r="U16" s="31">
        <f t="shared" si="8"/>
        <v>4.2179854901299141</v>
      </c>
      <c r="V16" s="30">
        <v>138</v>
      </c>
      <c r="W16" s="29">
        <f t="shared" si="9"/>
        <v>80310.379603174602</v>
      </c>
      <c r="X16" s="31">
        <f t="shared" si="10"/>
        <v>225.83201058201058</v>
      </c>
      <c r="Y16" s="30"/>
      <c r="Z16" s="29"/>
      <c r="AA16" s="31">
        <f t="shared" si="11"/>
        <v>0</v>
      </c>
      <c r="AB16" s="27"/>
      <c r="AC16" s="29"/>
      <c r="AD16" s="31">
        <f t="shared" si="12"/>
        <v>0</v>
      </c>
      <c r="AE16" s="29"/>
      <c r="AF16" s="29"/>
      <c r="AG16" s="29">
        <v>30</v>
      </c>
      <c r="AH16" s="29">
        <v>73</v>
      </c>
      <c r="AI16" s="29">
        <v>95</v>
      </c>
      <c r="AJ16" s="29">
        <v>141</v>
      </c>
      <c r="AK16" s="29">
        <v>106</v>
      </c>
      <c r="AL16" s="29">
        <v>17</v>
      </c>
      <c r="AM16" s="29">
        <v>4.5</v>
      </c>
      <c r="AN16" s="32">
        <v>76.599999999999994</v>
      </c>
      <c r="AO16" s="32">
        <v>61.4</v>
      </c>
      <c r="AP16" s="33">
        <v>86.75</v>
      </c>
      <c r="AQ16" s="32">
        <v>99.7</v>
      </c>
      <c r="AR16" s="32">
        <v>99.5</v>
      </c>
      <c r="AS16" s="32">
        <v>104.25</v>
      </c>
      <c r="AT16" s="32"/>
    </row>
    <row r="17" spans="2:46">
      <c r="B17" s="26">
        <v>44585</v>
      </c>
      <c r="C17" s="27">
        <v>74.62</v>
      </c>
      <c r="D17" s="28">
        <v>136.69999999999999</v>
      </c>
      <c r="E17" s="29">
        <f t="shared" si="0"/>
        <v>79971.803648148154</v>
      </c>
      <c r="F17" s="30">
        <v>121.74</v>
      </c>
      <c r="G17" s="29">
        <f t="shared" si="1"/>
        <v>71219.951544444455</v>
      </c>
      <c r="H17" s="27">
        <v>77000</v>
      </c>
      <c r="I17" s="31">
        <f t="shared" si="2"/>
        <v>216.52325516000224</v>
      </c>
      <c r="J17" s="27">
        <v>77000</v>
      </c>
      <c r="K17" s="31">
        <f t="shared" si="3"/>
        <v>216.52325516000224</v>
      </c>
      <c r="L17" s="27">
        <v>80000</v>
      </c>
      <c r="M17" s="31">
        <f t="shared" si="4"/>
        <v>224.95922614026207</v>
      </c>
      <c r="N17" s="27">
        <v>125000</v>
      </c>
      <c r="O17" s="31">
        <f t="shared" si="5"/>
        <v>351.49879084415949</v>
      </c>
      <c r="P17" s="29">
        <v>30000</v>
      </c>
      <c r="Q17" s="31">
        <f t="shared" si="6"/>
        <v>84.359709802598275</v>
      </c>
      <c r="R17" s="29">
        <v>6000</v>
      </c>
      <c r="S17" s="31">
        <f t="shared" si="7"/>
        <v>16.871941960519656</v>
      </c>
      <c r="T17" s="29">
        <v>1500</v>
      </c>
      <c r="U17" s="31">
        <f t="shared" si="8"/>
        <v>4.2179854901299141</v>
      </c>
      <c r="V17" s="30">
        <v>138.25</v>
      </c>
      <c r="W17" s="29">
        <f t="shared" si="9"/>
        <v>80878.579768518524</v>
      </c>
      <c r="X17" s="31">
        <f t="shared" si="10"/>
        <v>227.42978395061729</v>
      </c>
      <c r="Y17" s="30"/>
      <c r="Z17" s="29"/>
      <c r="AA17" s="31">
        <f t="shared" si="11"/>
        <v>0</v>
      </c>
      <c r="AB17" s="27"/>
      <c r="AC17" s="29"/>
      <c r="AD17" s="31">
        <f t="shared" si="12"/>
        <v>0</v>
      </c>
      <c r="AE17" s="29"/>
      <c r="AF17" s="29"/>
      <c r="AG17" s="29">
        <v>30</v>
      </c>
      <c r="AH17" s="29">
        <v>73</v>
      </c>
      <c r="AI17" s="29">
        <v>99</v>
      </c>
      <c r="AJ17" s="29">
        <v>141</v>
      </c>
      <c r="AK17" s="29">
        <v>106</v>
      </c>
      <c r="AL17" s="29">
        <v>17</v>
      </c>
      <c r="AM17" s="29">
        <v>4.5</v>
      </c>
      <c r="AN17" s="32">
        <v>77.2</v>
      </c>
      <c r="AO17" s="32">
        <v>62</v>
      </c>
      <c r="AP17" s="33">
        <v>87.47</v>
      </c>
      <c r="AQ17" s="32">
        <v>99.75</v>
      </c>
      <c r="AR17" s="32">
        <v>99.5</v>
      </c>
      <c r="AS17" s="32">
        <v>104.25</v>
      </c>
      <c r="AT17" s="32"/>
    </row>
    <row r="20" spans="2:46" ht="20">
      <c r="B20" s="34" t="s">
        <v>74</v>
      </c>
      <c r="C20" s="35"/>
      <c r="D20" s="36"/>
      <c r="E20" s="36"/>
      <c r="F20" s="36"/>
      <c r="G20" s="36"/>
      <c r="H20" s="36"/>
      <c r="I20" s="36"/>
      <c r="J20" s="36"/>
      <c r="K20" s="36"/>
      <c r="L20" s="35"/>
      <c r="M20" s="36"/>
      <c r="N20" s="36"/>
      <c r="O20" s="36"/>
      <c r="P20" s="36"/>
      <c r="Q20" s="36"/>
      <c r="R20" s="36"/>
      <c r="S20" s="36"/>
      <c r="T20" s="37"/>
      <c r="U20" s="36"/>
    </row>
    <row r="21" spans="2:46">
      <c r="B21" s="36"/>
      <c r="C21" s="35"/>
      <c r="D21" s="36"/>
      <c r="E21" s="36"/>
      <c r="F21" s="36"/>
      <c r="G21" s="36"/>
      <c r="H21" s="36"/>
      <c r="I21" s="36"/>
      <c r="J21" s="36"/>
      <c r="K21" s="36"/>
      <c r="L21" s="35"/>
      <c r="M21" s="36"/>
      <c r="N21" s="36"/>
      <c r="O21" s="36"/>
      <c r="P21" s="36"/>
      <c r="Q21" s="36"/>
      <c r="R21" s="36"/>
      <c r="S21" s="36"/>
      <c r="T21" s="37"/>
      <c r="U21" s="36"/>
    </row>
    <row r="22" spans="2:46" ht="26">
      <c r="B22" s="38" t="s">
        <v>75</v>
      </c>
      <c r="C22" s="38" t="s">
        <v>76</v>
      </c>
      <c r="D22" s="38" t="s">
        <v>77</v>
      </c>
      <c r="E22" s="38" t="s">
        <v>78</v>
      </c>
      <c r="F22" s="38" t="s">
        <v>79</v>
      </c>
      <c r="G22" s="39">
        <v>46085</v>
      </c>
      <c r="H22" s="40">
        <v>46063</v>
      </c>
      <c r="I22" s="38" t="s">
        <v>80</v>
      </c>
      <c r="J22" s="38" t="s">
        <v>81</v>
      </c>
      <c r="K22" s="38" t="s">
        <v>82</v>
      </c>
      <c r="L22" s="41">
        <v>45667</v>
      </c>
      <c r="M22" s="38" t="s">
        <v>83</v>
      </c>
      <c r="N22" s="38" t="s">
        <v>84</v>
      </c>
      <c r="O22" s="38" t="s">
        <v>85</v>
      </c>
      <c r="P22" s="38" t="s">
        <v>86</v>
      </c>
      <c r="Q22" s="38" t="s">
        <v>87</v>
      </c>
      <c r="R22" s="38" t="s">
        <v>88</v>
      </c>
      <c r="S22" s="42" t="s">
        <v>89</v>
      </c>
      <c r="T22" s="42" t="s">
        <v>90</v>
      </c>
      <c r="U22" s="38" t="s">
        <v>91</v>
      </c>
    </row>
    <row r="23" spans="2:46">
      <c r="B23" s="43" t="s">
        <v>92</v>
      </c>
      <c r="C23" s="43" t="s">
        <v>93</v>
      </c>
      <c r="D23" s="43" t="s">
        <v>94</v>
      </c>
      <c r="E23" s="43" t="s">
        <v>95</v>
      </c>
      <c r="F23" s="43">
        <v>290</v>
      </c>
      <c r="G23" s="43">
        <v>270</v>
      </c>
      <c r="H23" s="43">
        <v>272</v>
      </c>
      <c r="I23" s="43">
        <v>256</v>
      </c>
      <c r="J23" s="43">
        <v>251</v>
      </c>
      <c r="K23" s="43">
        <v>251</v>
      </c>
      <c r="L23" s="43">
        <v>253</v>
      </c>
      <c r="M23" s="43">
        <v>258</v>
      </c>
      <c r="N23" s="43">
        <v>263</v>
      </c>
      <c r="O23" s="43">
        <v>260</v>
      </c>
      <c r="P23" s="43">
        <v>260</v>
      </c>
      <c r="Q23" s="43">
        <v>265</v>
      </c>
      <c r="R23" s="43">
        <v>262</v>
      </c>
      <c r="S23" s="43">
        <v>260</v>
      </c>
      <c r="T23" s="43">
        <v>260</v>
      </c>
      <c r="U23" s="43">
        <v>258</v>
      </c>
    </row>
    <row r="24" spans="2:46">
      <c r="B24" s="43" t="s">
        <v>92</v>
      </c>
      <c r="C24" s="43" t="s">
        <v>96</v>
      </c>
      <c r="D24" s="43" t="s">
        <v>97</v>
      </c>
      <c r="E24" s="43" t="s">
        <v>95</v>
      </c>
      <c r="F24" s="43">
        <v>317</v>
      </c>
      <c r="G24" s="43">
        <v>300</v>
      </c>
      <c r="H24" s="43">
        <v>300</v>
      </c>
      <c r="I24" s="43">
        <v>282</v>
      </c>
      <c r="J24" s="43">
        <v>278</v>
      </c>
      <c r="K24" s="43">
        <v>278</v>
      </c>
      <c r="L24" s="43">
        <v>278</v>
      </c>
      <c r="M24" s="43">
        <v>282</v>
      </c>
      <c r="N24" s="43">
        <v>285</v>
      </c>
      <c r="O24" s="43">
        <v>285</v>
      </c>
      <c r="P24" s="43">
        <v>285</v>
      </c>
      <c r="Q24" s="43">
        <v>288</v>
      </c>
      <c r="R24" s="43">
        <v>285</v>
      </c>
      <c r="S24" s="43">
        <v>285</v>
      </c>
      <c r="T24" s="43">
        <v>284</v>
      </c>
      <c r="U24" s="43">
        <v>283</v>
      </c>
    </row>
    <row r="25" spans="2:46">
      <c r="B25" s="43" t="s">
        <v>92</v>
      </c>
      <c r="C25" s="43" t="s">
        <v>98</v>
      </c>
      <c r="D25" s="43" t="s">
        <v>99</v>
      </c>
      <c r="E25" s="43" t="s">
        <v>95</v>
      </c>
      <c r="F25" s="43"/>
      <c r="G25" s="43">
        <v>266</v>
      </c>
      <c r="H25" s="43">
        <v>266</v>
      </c>
      <c r="I25" s="43">
        <v>258</v>
      </c>
      <c r="J25" s="43">
        <v>255</v>
      </c>
      <c r="K25" s="43">
        <v>255</v>
      </c>
      <c r="L25" s="43">
        <v>255</v>
      </c>
      <c r="M25" s="43">
        <v>258</v>
      </c>
      <c r="N25" s="43">
        <v>260</v>
      </c>
      <c r="O25" s="43">
        <v>252</v>
      </c>
      <c r="P25" s="43">
        <v>252</v>
      </c>
      <c r="Q25" s="43">
        <v>254</v>
      </c>
      <c r="R25" s="43">
        <v>251</v>
      </c>
      <c r="S25" s="43">
        <v>251</v>
      </c>
      <c r="T25" s="43">
        <v>251</v>
      </c>
      <c r="U25" s="43">
        <v>252</v>
      </c>
    </row>
    <row r="26" spans="2:46">
      <c r="B26" s="43" t="s">
        <v>92</v>
      </c>
      <c r="C26" s="43" t="s">
        <v>100</v>
      </c>
      <c r="D26" s="43" t="s">
        <v>101</v>
      </c>
      <c r="E26" s="43" t="s">
        <v>95</v>
      </c>
      <c r="F26" s="43"/>
      <c r="G26" s="43">
        <v>250</v>
      </c>
      <c r="H26" s="43">
        <v>250</v>
      </c>
      <c r="I26" s="43">
        <v>243</v>
      </c>
      <c r="J26" s="43">
        <v>240</v>
      </c>
      <c r="K26" s="43">
        <v>240</v>
      </c>
      <c r="L26" s="43">
        <v>240</v>
      </c>
      <c r="M26" s="43">
        <v>242</v>
      </c>
      <c r="N26" s="43">
        <v>252</v>
      </c>
      <c r="O26" s="43">
        <v>251</v>
      </c>
      <c r="P26" s="43">
        <v>251</v>
      </c>
      <c r="Q26" s="43">
        <v>250</v>
      </c>
      <c r="R26" s="43">
        <v>250</v>
      </c>
      <c r="S26" s="43">
        <v>252</v>
      </c>
      <c r="T26" s="43">
        <v>252</v>
      </c>
      <c r="U26" s="43">
        <v>252</v>
      </c>
    </row>
    <row r="27" spans="2:46">
      <c r="B27" s="43" t="s">
        <v>92</v>
      </c>
      <c r="C27" s="43" t="s">
        <v>102</v>
      </c>
      <c r="D27" s="43" t="s">
        <v>103</v>
      </c>
      <c r="E27" s="43" t="s">
        <v>95</v>
      </c>
      <c r="F27" s="43">
        <v>265</v>
      </c>
      <c r="G27" s="43">
        <v>255</v>
      </c>
      <c r="H27" s="43">
        <v>255</v>
      </c>
      <c r="I27" s="43">
        <v>240</v>
      </c>
      <c r="J27" s="43">
        <v>235</v>
      </c>
      <c r="K27" s="43">
        <v>235</v>
      </c>
      <c r="L27" s="43">
        <v>235</v>
      </c>
      <c r="M27" s="43">
        <v>237</v>
      </c>
      <c r="N27" s="43">
        <v>242</v>
      </c>
      <c r="O27" s="43">
        <v>240</v>
      </c>
      <c r="P27" s="43">
        <v>240</v>
      </c>
      <c r="Q27" s="43">
        <v>242</v>
      </c>
      <c r="R27" s="43">
        <v>240</v>
      </c>
      <c r="S27" s="43">
        <v>242</v>
      </c>
      <c r="T27" s="43">
        <v>242</v>
      </c>
      <c r="U27" s="43">
        <v>240</v>
      </c>
    </row>
    <row r="28" spans="2:46">
      <c r="B28" s="43" t="s">
        <v>92</v>
      </c>
      <c r="C28" s="43" t="s">
        <v>104</v>
      </c>
      <c r="D28" s="43" t="s">
        <v>105</v>
      </c>
      <c r="E28" s="43" t="s">
        <v>95</v>
      </c>
      <c r="F28" s="43"/>
      <c r="G28" s="43">
        <v>310</v>
      </c>
      <c r="H28" s="43">
        <v>310</v>
      </c>
      <c r="I28" s="43">
        <v>300</v>
      </c>
      <c r="J28" s="43">
        <v>295</v>
      </c>
      <c r="K28" s="43">
        <v>295</v>
      </c>
      <c r="L28" s="43">
        <v>300</v>
      </c>
      <c r="M28" s="43">
        <v>300</v>
      </c>
      <c r="N28" s="43">
        <v>300</v>
      </c>
      <c r="O28" s="43">
        <v>300</v>
      </c>
      <c r="P28" s="43">
        <v>299</v>
      </c>
      <c r="Q28" s="43">
        <v>299</v>
      </c>
      <c r="R28" s="43">
        <v>297</v>
      </c>
      <c r="S28" s="43">
        <v>297</v>
      </c>
      <c r="T28" s="43">
        <v>297</v>
      </c>
      <c r="U28" s="43">
        <v>300</v>
      </c>
    </row>
    <row r="29" spans="2:46">
      <c r="B29" s="43" t="s">
        <v>106</v>
      </c>
      <c r="C29" s="43" t="s">
        <v>107</v>
      </c>
      <c r="D29" s="43" t="s">
        <v>108</v>
      </c>
      <c r="E29" s="43" t="s">
        <v>109</v>
      </c>
      <c r="F29" s="43"/>
      <c r="G29" s="43">
        <v>1065</v>
      </c>
      <c r="H29" s="43">
        <v>1060</v>
      </c>
      <c r="I29" s="43">
        <v>1050</v>
      </c>
      <c r="J29" s="43">
        <v>1040</v>
      </c>
      <c r="K29" s="43">
        <v>1065</v>
      </c>
      <c r="L29" s="43">
        <v>1045</v>
      </c>
      <c r="M29" s="43">
        <v>1045</v>
      </c>
      <c r="N29" s="43">
        <v>970</v>
      </c>
      <c r="O29" s="43">
        <v>790</v>
      </c>
      <c r="P29" s="43">
        <v>720</v>
      </c>
      <c r="Q29" s="43">
        <v>720</v>
      </c>
      <c r="R29" s="43">
        <v>720</v>
      </c>
      <c r="S29" s="43">
        <v>720</v>
      </c>
      <c r="T29" s="43">
        <v>770</v>
      </c>
      <c r="U29" s="43">
        <v>770</v>
      </c>
    </row>
    <row r="30" spans="2:46">
      <c r="B30" s="43" t="s">
        <v>110</v>
      </c>
      <c r="C30" s="43" t="s">
        <v>111</v>
      </c>
      <c r="D30" s="43" t="s">
        <v>112</v>
      </c>
      <c r="E30" s="43" t="s">
        <v>113</v>
      </c>
      <c r="F30" s="43"/>
      <c r="G30" s="43">
        <v>461</v>
      </c>
      <c r="H30" s="43">
        <v>460</v>
      </c>
      <c r="I30" s="43">
        <v>455</v>
      </c>
      <c r="J30" s="44">
        <v>445</v>
      </c>
      <c r="K30" s="44">
        <v>448.28</v>
      </c>
      <c r="L30" s="44">
        <v>437.89</v>
      </c>
      <c r="M30" s="44">
        <v>439.44</v>
      </c>
      <c r="N30" s="44">
        <v>417.31</v>
      </c>
      <c r="O30" s="44">
        <v>367.11</v>
      </c>
      <c r="P30" s="44">
        <v>349.5</v>
      </c>
      <c r="Q30" s="44">
        <v>368.02</v>
      </c>
      <c r="R30" s="44">
        <v>385.79</v>
      </c>
      <c r="S30" s="44">
        <v>385.79</v>
      </c>
      <c r="T30" s="44">
        <v>376.61</v>
      </c>
      <c r="U30" s="44">
        <v>386.92</v>
      </c>
    </row>
    <row r="31" spans="2:46">
      <c r="B31" s="43" t="s">
        <v>114</v>
      </c>
      <c r="C31" s="45" t="s">
        <v>115</v>
      </c>
      <c r="D31" s="43" t="s">
        <v>116</v>
      </c>
      <c r="E31" s="43" t="s">
        <v>117</v>
      </c>
      <c r="F31" s="43"/>
      <c r="G31" s="43">
        <v>245</v>
      </c>
      <c r="H31" s="43">
        <v>240</v>
      </c>
      <c r="I31" s="43">
        <v>223</v>
      </c>
      <c r="J31" s="43">
        <v>220</v>
      </c>
      <c r="K31" s="43">
        <v>224</v>
      </c>
      <c r="L31" s="43">
        <v>226</v>
      </c>
      <c r="M31" s="43">
        <v>226</v>
      </c>
      <c r="N31" s="44">
        <v>219</v>
      </c>
      <c r="O31" s="44">
        <v>219</v>
      </c>
      <c r="P31" s="44">
        <v>218</v>
      </c>
      <c r="Q31" s="44">
        <v>218</v>
      </c>
      <c r="R31" s="44">
        <v>218</v>
      </c>
      <c r="S31" s="44">
        <v>218</v>
      </c>
      <c r="T31" s="44">
        <v>218</v>
      </c>
      <c r="U31" s="44">
        <v>220</v>
      </c>
    </row>
    <row r="32" spans="2:46">
      <c r="B32" s="43" t="s">
        <v>118</v>
      </c>
      <c r="C32" s="43" t="s">
        <v>119</v>
      </c>
      <c r="D32" s="43" t="s">
        <v>120</v>
      </c>
      <c r="E32" s="43" t="s">
        <v>113</v>
      </c>
      <c r="F32" s="43"/>
      <c r="G32" s="43">
        <v>273</v>
      </c>
      <c r="H32" s="43">
        <v>270</v>
      </c>
      <c r="I32" s="43">
        <v>265</v>
      </c>
      <c r="J32" s="43">
        <v>257</v>
      </c>
      <c r="K32" s="43">
        <v>260</v>
      </c>
      <c r="L32" s="43">
        <v>261</v>
      </c>
      <c r="M32" s="43">
        <v>263</v>
      </c>
      <c r="N32" s="44">
        <v>265</v>
      </c>
      <c r="O32" s="44">
        <v>265</v>
      </c>
      <c r="P32" s="44">
        <v>265</v>
      </c>
      <c r="Q32" s="44">
        <v>264</v>
      </c>
      <c r="R32" s="44">
        <v>262</v>
      </c>
      <c r="S32" s="44">
        <v>262</v>
      </c>
      <c r="T32" s="44">
        <v>262</v>
      </c>
      <c r="U32" s="44">
        <v>260</v>
      </c>
    </row>
    <row r="34" spans="2:7" ht="17.5">
      <c r="B34" s="46" t="s">
        <v>121</v>
      </c>
    </row>
    <row r="36" spans="2:7">
      <c r="B36" s="47" t="s">
        <v>78</v>
      </c>
      <c r="C36" s="48" t="s">
        <v>122</v>
      </c>
      <c r="D36" s="49" t="s">
        <v>123</v>
      </c>
      <c r="E36" s="48" t="s">
        <v>124</v>
      </c>
      <c r="F36" s="48" t="s">
        <v>125</v>
      </c>
      <c r="G36" s="50" t="s">
        <v>126</v>
      </c>
    </row>
    <row r="37" spans="2:7">
      <c r="B37" s="9" t="s">
        <v>14</v>
      </c>
      <c r="C37" s="9" t="s">
        <v>127</v>
      </c>
      <c r="D37" s="51"/>
      <c r="E37" s="51">
        <v>45729</v>
      </c>
      <c r="F37" s="51">
        <v>46093</v>
      </c>
      <c r="G37" s="10"/>
    </row>
    <row r="38" spans="2:7">
      <c r="B38" s="9" t="s">
        <v>14</v>
      </c>
      <c r="C38" s="11" t="s">
        <v>128</v>
      </c>
      <c r="D38" s="51"/>
      <c r="E38" s="51">
        <v>45729</v>
      </c>
      <c r="F38" s="51">
        <v>46093</v>
      </c>
      <c r="G38" s="10"/>
    </row>
    <row r="39" spans="2:7">
      <c r="B39" s="9" t="s">
        <v>14</v>
      </c>
      <c r="C39" s="12" t="s">
        <v>129</v>
      </c>
      <c r="D39" s="51"/>
      <c r="E39" s="51">
        <v>45729</v>
      </c>
      <c r="F39" s="51">
        <v>46093</v>
      </c>
      <c r="G39" s="10"/>
    </row>
  </sheetData>
  <mergeCells count="1">
    <mergeCell ref="E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Savekar</dc:creator>
  <cp:lastModifiedBy>Vijay Savekar</cp:lastModifiedBy>
  <dcterms:created xsi:type="dcterms:W3CDTF">2026-04-08T06:53:44Z</dcterms:created>
  <dcterms:modified xsi:type="dcterms:W3CDTF">2026-04-08T06:58:11Z</dcterms:modified>
</cp:coreProperties>
</file>