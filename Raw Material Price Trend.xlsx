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C:\Dev\Yarn_Dept\"/>
    </mc:Choice>
  </mc:AlternateContent>
  <xr:revisionPtr revIDLastSave="0" documentId="13_ncr:1_{FA855C21-505B-4D48-AF71-CE0B696E18B3}" xr6:coauthVersionLast="47" xr6:coauthVersionMax="47" xr10:uidLastSave="{00000000-0000-0000-0000-000000000000}"/>
  <bookViews>
    <workbookView xWindow="-110" yWindow="-110" windowWidth="22780" windowHeight="14540" xr2:uid="{BE5D1232-BE59-48C6-A1B1-BE6C5999031A}"/>
  </bookViews>
  <sheets>
    <sheet name="Raw Trend" sheetId="1" r:id="rId1"/>
    <sheet name="Sheet1" sheetId="2" r:id="rId2"/>
  </sheets>
  <definedNames>
    <definedName name="_xlnm._FilterDatabase" localSheetId="0" hidden="1">'Raw Trend'!$A$6:$BU$6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" i="2" l="1"/>
  <c r="K19" i="2"/>
  <c r="J19" i="2"/>
  <c r="L18" i="2"/>
  <c r="L17" i="2"/>
  <c r="L19" i="2" s="1"/>
  <c r="E8" i="1"/>
  <c r="AC192" i="1"/>
  <c r="Z192" i="1"/>
  <c r="W192" i="1"/>
  <c r="U192" i="1"/>
  <c r="S192" i="1"/>
  <c r="Q192" i="1"/>
  <c r="O192" i="1"/>
  <c r="M192" i="1"/>
  <c r="K192" i="1"/>
  <c r="I192" i="1"/>
  <c r="G192" i="1"/>
  <c r="E192" i="1"/>
  <c r="AR191" i="1"/>
  <c r="AQ191" i="1"/>
  <c r="AC191" i="1"/>
  <c r="Z191" i="1"/>
  <c r="W191" i="1"/>
  <c r="U191" i="1"/>
  <c r="S191" i="1"/>
  <c r="Q191" i="1"/>
  <c r="O191" i="1"/>
  <c r="M191" i="1"/>
  <c r="K191" i="1"/>
  <c r="I191" i="1"/>
  <c r="G191" i="1"/>
  <c r="E191" i="1"/>
  <c r="AR190" i="1"/>
  <c r="AQ190" i="1"/>
  <c r="AC190" i="1"/>
  <c r="Z190" i="1"/>
  <c r="W190" i="1"/>
  <c r="U190" i="1"/>
  <c r="S190" i="1"/>
  <c r="Q190" i="1"/>
  <c r="O190" i="1"/>
  <c r="M190" i="1"/>
  <c r="K190" i="1"/>
  <c r="I190" i="1"/>
  <c r="G190" i="1"/>
  <c r="E190" i="1"/>
  <c r="AR189" i="1"/>
  <c r="AQ189" i="1"/>
  <c r="AC189" i="1"/>
  <c r="Z189" i="1"/>
  <c r="W189" i="1"/>
  <c r="U189" i="1"/>
  <c r="S189" i="1"/>
  <c r="Q189" i="1"/>
  <c r="O189" i="1"/>
  <c r="M189" i="1"/>
  <c r="K189" i="1"/>
  <c r="I189" i="1"/>
  <c r="G189" i="1"/>
  <c r="E189" i="1"/>
  <c r="AR188" i="1"/>
  <c r="AQ188" i="1"/>
  <c r="AC188" i="1"/>
  <c r="Z188" i="1"/>
  <c r="W188" i="1"/>
  <c r="U188" i="1"/>
  <c r="S188" i="1"/>
  <c r="Q188" i="1"/>
  <c r="O188" i="1"/>
  <c r="M188" i="1"/>
  <c r="K188" i="1"/>
  <c r="I188" i="1"/>
  <c r="G188" i="1"/>
  <c r="E188" i="1"/>
  <c r="AS187" i="1"/>
  <c r="AQ187" i="1"/>
  <c r="AC187" i="1"/>
  <c r="Z187" i="1"/>
  <c r="W187" i="1"/>
  <c r="U187" i="1"/>
  <c r="S187" i="1"/>
  <c r="Q187" i="1"/>
  <c r="O187" i="1"/>
  <c r="M187" i="1"/>
  <c r="K187" i="1"/>
  <c r="I187" i="1"/>
  <c r="G187" i="1"/>
  <c r="E187" i="1"/>
  <c r="AR186" i="1"/>
  <c r="AQ186" i="1"/>
  <c r="AC186" i="1"/>
  <c r="Z186" i="1"/>
  <c r="W186" i="1"/>
  <c r="U186" i="1"/>
  <c r="S186" i="1"/>
  <c r="Q186" i="1"/>
  <c r="O186" i="1"/>
  <c r="M186" i="1"/>
  <c r="K186" i="1"/>
  <c r="I186" i="1"/>
  <c r="G186" i="1"/>
  <c r="E186" i="1"/>
  <c r="AS185" i="1"/>
  <c r="AQ185" i="1"/>
  <c r="AC185" i="1"/>
  <c r="Z185" i="1"/>
  <c r="W185" i="1"/>
  <c r="U185" i="1"/>
  <c r="S185" i="1"/>
  <c r="Q185" i="1"/>
  <c r="O185" i="1"/>
  <c r="M185" i="1"/>
  <c r="K185" i="1"/>
  <c r="I185" i="1"/>
  <c r="G185" i="1"/>
  <c r="E185" i="1"/>
  <c r="AR184" i="1"/>
  <c r="AQ184" i="1"/>
  <c r="AC184" i="1"/>
  <c r="Z184" i="1"/>
  <c r="W184" i="1"/>
  <c r="U184" i="1"/>
  <c r="S184" i="1"/>
  <c r="Q184" i="1"/>
  <c r="O184" i="1"/>
  <c r="M184" i="1"/>
  <c r="K184" i="1"/>
  <c r="I184" i="1"/>
  <c r="G184" i="1"/>
  <c r="E184" i="1"/>
  <c r="AS183" i="1"/>
  <c r="AQ183" i="1"/>
  <c r="AC183" i="1"/>
  <c r="Z183" i="1"/>
  <c r="W183" i="1"/>
  <c r="U183" i="1"/>
  <c r="S183" i="1"/>
  <c r="Q183" i="1"/>
  <c r="O183" i="1"/>
  <c r="M183" i="1"/>
  <c r="K183" i="1"/>
  <c r="I183" i="1"/>
  <c r="G183" i="1"/>
  <c r="E183" i="1"/>
  <c r="AS182" i="1"/>
  <c r="AQ182" i="1"/>
  <c r="AC182" i="1"/>
  <c r="Z182" i="1"/>
  <c r="W182" i="1"/>
  <c r="U182" i="1"/>
  <c r="S182" i="1"/>
  <c r="Q182" i="1"/>
  <c r="O182" i="1"/>
  <c r="M182" i="1"/>
  <c r="K182" i="1"/>
  <c r="I182" i="1"/>
  <c r="G182" i="1"/>
  <c r="E182" i="1"/>
  <c r="AS181" i="1"/>
  <c r="AQ181" i="1"/>
  <c r="AC181" i="1"/>
  <c r="Z181" i="1"/>
  <c r="W181" i="1"/>
  <c r="U181" i="1"/>
  <c r="S181" i="1"/>
  <c r="Q181" i="1"/>
  <c r="O181" i="1"/>
  <c r="M181" i="1"/>
  <c r="K181" i="1"/>
  <c r="I181" i="1"/>
  <c r="G181" i="1"/>
  <c r="E181" i="1"/>
  <c r="AS180" i="1"/>
  <c r="AQ180" i="1"/>
  <c r="AC180" i="1"/>
  <c r="Z180" i="1"/>
  <c r="W180" i="1"/>
  <c r="U180" i="1"/>
  <c r="S180" i="1"/>
  <c r="Q180" i="1"/>
  <c r="O180" i="1"/>
  <c r="M180" i="1"/>
  <c r="K180" i="1"/>
  <c r="I180" i="1"/>
  <c r="G180" i="1"/>
  <c r="E180" i="1"/>
  <c r="AS179" i="1"/>
  <c r="AQ179" i="1"/>
  <c r="AC179" i="1"/>
  <c r="Z179" i="1"/>
  <c r="W179" i="1"/>
  <c r="U179" i="1"/>
  <c r="S179" i="1"/>
  <c r="Q179" i="1"/>
  <c r="O179" i="1"/>
  <c r="M179" i="1"/>
  <c r="K179" i="1"/>
  <c r="I179" i="1"/>
  <c r="G179" i="1"/>
  <c r="E179" i="1"/>
  <c r="AS178" i="1"/>
  <c r="AQ178" i="1"/>
  <c r="AC178" i="1"/>
  <c r="Z178" i="1"/>
  <c r="W178" i="1"/>
  <c r="U178" i="1"/>
  <c r="S178" i="1"/>
  <c r="Q178" i="1"/>
  <c r="O178" i="1"/>
  <c r="M178" i="1"/>
  <c r="K178" i="1"/>
  <c r="I178" i="1"/>
  <c r="G178" i="1"/>
  <c r="E178" i="1"/>
  <c r="AS177" i="1"/>
  <c r="AQ177" i="1"/>
  <c r="AC177" i="1"/>
  <c r="Z177" i="1"/>
  <c r="W177" i="1"/>
  <c r="U177" i="1"/>
  <c r="S177" i="1"/>
  <c r="Q177" i="1"/>
  <c r="O177" i="1"/>
  <c r="M177" i="1"/>
  <c r="K177" i="1"/>
  <c r="I177" i="1"/>
  <c r="G177" i="1"/>
  <c r="E177" i="1"/>
  <c r="AS176" i="1"/>
  <c r="AQ176" i="1"/>
  <c r="AC176" i="1"/>
  <c r="Z176" i="1"/>
  <c r="W176" i="1"/>
  <c r="U176" i="1"/>
  <c r="S176" i="1"/>
  <c r="Q176" i="1"/>
  <c r="O176" i="1"/>
  <c r="M176" i="1"/>
  <c r="K176" i="1"/>
  <c r="I176" i="1"/>
  <c r="G176" i="1"/>
  <c r="E176" i="1"/>
  <c r="AS175" i="1"/>
  <c r="AQ175" i="1"/>
  <c r="AC175" i="1"/>
  <c r="Z175" i="1"/>
  <c r="W175" i="1"/>
  <c r="U175" i="1"/>
  <c r="S175" i="1"/>
  <c r="Q175" i="1"/>
  <c r="O175" i="1"/>
  <c r="M175" i="1"/>
  <c r="K175" i="1"/>
  <c r="I175" i="1"/>
  <c r="G175" i="1"/>
  <c r="E175" i="1"/>
  <c r="AS174" i="1"/>
  <c r="AQ174" i="1"/>
  <c r="AC174" i="1"/>
  <c r="Z174" i="1"/>
  <c r="W174" i="1"/>
  <c r="U174" i="1"/>
  <c r="S174" i="1"/>
  <c r="Q174" i="1"/>
  <c r="O174" i="1"/>
  <c r="M174" i="1"/>
  <c r="K174" i="1"/>
  <c r="I174" i="1"/>
  <c r="G174" i="1"/>
  <c r="E174" i="1"/>
  <c r="AS173" i="1"/>
  <c r="AQ173" i="1"/>
  <c r="AC173" i="1"/>
  <c r="Z173" i="1"/>
  <c r="W173" i="1"/>
  <c r="U173" i="1"/>
  <c r="S173" i="1"/>
  <c r="Q173" i="1"/>
  <c r="O173" i="1"/>
  <c r="M173" i="1"/>
  <c r="K173" i="1"/>
  <c r="I173" i="1"/>
  <c r="G173" i="1"/>
  <c r="E173" i="1"/>
  <c r="AS172" i="1"/>
  <c r="AQ172" i="1"/>
  <c r="AC172" i="1"/>
  <c r="Z172" i="1"/>
  <c r="W172" i="1"/>
  <c r="U172" i="1"/>
  <c r="S172" i="1"/>
  <c r="Q172" i="1"/>
  <c r="O172" i="1"/>
  <c r="M172" i="1"/>
  <c r="K172" i="1"/>
  <c r="I172" i="1"/>
  <c r="G172" i="1"/>
  <c r="E172" i="1"/>
  <c r="AS171" i="1"/>
  <c r="AQ171" i="1"/>
  <c r="AC171" i="1"/>
  <c r="Z171" i="1"/>
  <c r="W171" i="1"/>
  <c r="U171" i="1"/>
  <c r="S171" i="1"/>
  <c r="Q171" i="1"/>
  <c r="O171" i="1"/>
  <c r="M171" i="1"/>
  <c r="K171" i="1"/>
  <c r="I171" i="1"/>
  <c r="G171" i="1"/>
  <c r="E171" i="1"/>
  <c r="AS170" i="1"/>
  <c r="AQ170" i="1"/>
  <c r="AC170" i="1"/>
  <c r="Z170" i="1"/>
  <c r="W170" i="1"/>
  <c r="U170" i="1"/>
  <c r="S170" i="1"/>
  <c r="Q170" i="1"/>
  <c r="O170" i="1"/>
  <c r="M170" i="1"/>
  <c r="K170" i="1"/>
  <c r="I170" i="1"/>
  <c r="G170" i="1"/>
  <c r="E170" i="1"/>
  <c r="AS169" i="1"/>
  <c r="AQ169" i="1"/>
  <c r="AC169" i="1"/>
  <c r="Z169" i="1"/>
  <c r="W169" i="1"/>
  <c r="U169" i="1"/>
  <c r="S169" i="1"/>
  <c r="Q169" i="1"/>
  <c r="O169" i="1"/>
  <c r="M169" i="1"/>
  <c r="K169" i="1"/>
  <c r="I169" i="1"/>
  <c r="G169" i="1"/>
  <c r="E169" i="1"/>
  <c r="AS168" i="1"/>
  <c r="AQ168" i="1"/>
  <c r="AC168" i="1"/>
  <c r="Z168" i="1"/>
  <c r="W168" i="1"/>
  <c r="U168" i="1"/>
  <c r="S168" i="1"/>
  <c r="Q168" i="1"/>
  <c r="O168" i="1"/>
  <c r="M168" i="1"/>
  <c r="K168" i="1"/>
  <c r="I168" i="1"/>
  <c r="G168" i="1"/>
  <c r="E168" i="1"/>
  <c r="AS167" i="1"/>
  <c r="AQ167" i="1"/>
  <c r="AC167" i="1"/>
  <c r="Z167" i="1"/>
  <c r="W167" i="1"/>
  <c r="U167" i="1"/>
  <c r="S167" i="1"/>
  <c r="Q167" i="1"/>
  <c r="O167" i="1"/>
  <c r="M167" i="1"/>
  <c r="K167" i="1"/>
  <c r="I167" i="1"/>
  <c r="G167" i="1"/>
  <c r="E167" i="1"/>
  <c r="AS166" i="1"/>
  <c r="AQ166" i="1"/>
  <c r="AC166" i="1"/>
  <c r="Z166" i="1"/>
  <c r="W166" i="1"/>
  <c r="U166" i="1"/>
  <c r="S166" i="1"/>
  <c r="Q166" i="1"/>
  <c r="O166" i="1"/>
  <c r="M166" i="1"/>
  <c r="K166" i="1"/>
  <c r="I166" i="1"/>
  <c r="G166" i="1"/>
  <c r="E166" i="1"/>
  <c r="AS165" i="1"/>
  <c r="AQ165" i="1"/>
  <c r="AC165" i="1"/>
  <c r="Z165" i="1"/>
  <c r="W165" i="1"/>
  <c r="U165" i="1"/>
  <c r="S165" i="1"/>
  <c r="Q165" i="1"/>
  <c r="O165" i="1"/>
  <c r="M165" i="1"/>
  <c r="K165" i="1"/>
  <c r="I165" i="1"/>
  <c r="G165" i="1"/>
  <c r="E165" i="1"/>
  <c r="AS164" i="1"/>
  <c r="AQ164" i="1"/>
  <c r="AC164" i="1"/>
  <c r="Z164" i="1"/>
  <c r="W164" i="1"/>
  <c r="U164" i="1"/>
  <c r="S164" i="1"/>
  <c r="Q164" i="1"/>
  <c r="O164" i="1"/>
  <c r="M164" i="1"/>
  <c r="K164" i="1"/>
  <c r="I164" i="1"/>
  <c r="G164" i="1"/>
  <c r="E164" i="1"/>
  <c r="AS163" i="1"/>
  <c r="AQ163" i="1"/>
  <c r="AC163" i="1"/>
  <c r="Z163" i="1"/>
  <c r="W163" i="1"/>
  <c r="U163" i="1"/>
  <c r="S163" i="1"/>
  <c r="Q163" i="1"/>
  <c r="O163" i="1"/>
  <c r="M163" i="1"/>
  <c r="K163" i="1"/>
  <c r="I163" i="1"/>
  <c r="G163" i="1"/>
  <c r="E163" i="1"/>
  <c r="AS162" i="1"/>
  <c r="AQ162" i="1"/>
  <c r="AC162" i="1"/>
  <c r="Z162" i="1"/>
  <c r="W162" i="1"/>
  <c r="U162" i="1"/>
  <c r="S162" i="1"/>
  <c r="Q162" i="1"/>
  <c r="O162" i="1"/>
  <c r="M162" i="1"/>
  <c r="K162" i="1"/>
  <c r="I162" i="1"/>
  <c r="G162" i="1"/>
  <c r="E162" i="1"/>
  <c r="AS161" i="1"/>
  <c r="AQ161" i="1"/>
  <c r="AC161" i="1"/>
  <c r="Z161" i="1"/>
  <c r="W161" i="1"/>
  <c r="U161" i="1"/>
  <c r="S161" i="1"/>
  <c r="Q161" i="1"/>
  <c r="O161" i="1"/>
  <c r="M161" i="1"/>
  <c r="K161" i="1"/>
  <c r="I161" i="1"/>
  <c r="G161" i="1"/>
  <c r="E161" i="1"/>
  <c r="AS160" i="1"/>
  <c r="AQ160" i="1"/>
  <c r="AC160" i="1"/>
  <c r="Z160" i="1"/>
  <c r="W160" i="1"/>
  <c r="U160" i="1"/>
  <c r="S160" i="1"/>
  <c r="Q160" i="1"/>
  <c r="O160" i="1"/>
  <c r="M160" i="1"/>
  <c r="K160" i="1"/>
  <c r="I160" i="1"/>
  <c r="G160" i="1"/>
  <c r="E160" i="1"/>
  <c r="AR159" i="1"/>
  <c r="AC159" i="1"/>
  <c r="Z159" i="1"/>
  <c r="W159" i="1"/>
  <c r="U159" i="1"/>
  <c r="S159" i="1"/>
  <c r="Q159" i="1"/>
  <c r="O159" i="1"/>
  <c r="M159" i="1"/>
  <c r="K159" i="1"/>
  <c r="I159" i="1"/>
  <c r="G159" i="1"/>
  <c r="E159" i="1"/>
  <c r="AR158" i="1"/>
  <c r="AC158" i="1"/>
  <c r="Z158" i="1"/>
  <c r="W158" i="1"/>
  <c r="U158" i="1"/>
  <c r="S158" i="1"/>
  <c r="Q158" i="1"/>
  <c r="O158" i="1"/>
  <c r="M158" i="1"/>
  <c r="K158" i="1"/>
  <c r="I158" i="1"/>
  <c r="G158" i="1"/>
  <c r="E158" i="1"/>
  <c r="AR157" i="1"/>
  <c r="AC157" i="1"/>
  <c r="Z157" i="1"/>
  <c r="W157" i="1"/>
  <c r="U157" i="1"/>
  <c r="S157" i="1"/>
  <c r="Q157" i="1"/>
  <c r="O157" i="1"/>
  <c r="M157" i="1"/>
  <c r="K157" i="1"/>
  <c r="I157" i="1"/>
  <c r="G157" i="1"/>
  <c r="E157" i="1"/>
  <c r="AR156" i="1"/>
  <c r="AC156" i="1"/>
  <c r="Z156" i="1"/>
  <c r="W156" i="1"/>
  <c r="U156" i="1"/>
  <c r="S156" i="1"/>
  <c r="Q156" i="1"/>
  <c r="O156" i="1"/>
  <c r="M156" i="1"/>
  <c r="K156" i="1"/>
  <c r="I156" i="1"/>
  <c r="G156" i="1"/>
  <c r="E156" i="1"/>
  <c r="AR155" i="1"/>
  <c r="AC155" i="1"/>
  <c r="Z155" i="1"/>
  <c r="W155" i="1"/>
  <c r="U155" i="1"/>
  <c r="S155" i="1"/>
  <c r="Q155" i="1"/>
  <c r="O155" i="1"/>
  <c r="M155" i="1"/>
  <c r="K155" i="1"/>
  <c r="I155" i="1"/>
  <c r="G155" i="1"/>
  <c r="E155" i="1"/>
  <c r="AC154" i="1"/>
  <c r="Z154" i="1"/>
  <c r="W154" i="1"/>
  <c r="U154" i="1"/>
  <c r="S154" i="1"/>
  <c r="Q154" i="1"/>
  <c r="O154" i="1"/>
  <c r="M154" i="1"/>
  <c r="K154" i="1"/>
  <c r="I154" i="1"/>
  <c r="G154" i="1"/>
  <c r="E154" i="1"/>
  <c r="AC153" i="1"/>
  <c r="Z153" i="1"/>
  <c r="W153" i="1"/>
  <c r="U153" i="1"/>
  <c r="S153" i="1"/>
  <c r="Q153" i="1"/>
  <c r="O153" i="1"/>
  <c r="M153" i="1"/>
  <c r="K153" i="1"/>
  <c r="I153" i="1"/>
  <c r="G153" i="1"/>
  <c r="E153" i="1"/>
  <c r="AC152" i="1"/>
  <c r="Z152" i="1"/>
  <c r="W152" i="1"/>
  <c r="U152" i="1"/>
  <c r="S152" i="1"/>
  <c r="Q152" i="1"/>
  <c r="O152" i="1"/>
  <c r="M152" i="1"/>
  <c r="K152" i="1"/>
  <c r="I152" i="1"/>
  <c r="G152" i="1"/>
  <c r="E152" i="1"/>
  <c r="AC151" i="1"/>
  <c r="Z151" i="1"/>
  <c r="W151" i="1"/>
  <c r="U151" i="1"/>
  <c r="S151" i="1"/>
  <c r="Q151" i="1"/>
  <c r="O151" i="1"/>
  <c r="M151" i="1"/>
  <c r="K151" i="1"/>
  <c r="I151" i="1"/>
  <c r="G151" i="1"/>
  <c r="E151" i="1"/>
  <c r="AC150" i="1"/>
  <c r="Z150" i="1"/>
  <c r="W150" i="1"/>
  <c r="U150" i="1"/>
  <c r="S150" i="1"/>
  <c r="Q150" i="1"/>
  <c r="O150" i="1"/>
  <c r="M150" i="1"/>
  <c r="K150" i="1"/>
  <c r="I150" i="1"/>
  <c r="G150" i="1"/>
  <c r="E150" i="1"/>
  <c r="AC149" i="1"/>
  <c r="Z149" i="1"/>
  <c r="W149" i="1"/>
  <c r="U149" i="1"/>
  <c r="S149" i="1"/>
  <c r="Q149" i="1"/>
  <c r="O149" i="1"/>
  <c r="M149" i="1"/>
  <c r="K149" i="1"/>
  <c r="I149" i="1"/>
  <c r="G149" i="1"/>
  <c r="E149" i="1"/>
  <c r="AC148" i="1"/>
  <c r="Z148" i="1"/>
  <c r="W148" i="1"/>
  <c r="U148" i="1"/>
  <c r="S148" i="1"/>
  <c r="Q148" i="1"/>
  <c r="O148" i="1"/>
  <c r="M148" i="1"/>
  <c r="K148" i="1"/>
  <c r="I148" i="1"/>
  <c r="G148" i="1"/>
  <c r="E148" i="1"/>
  <c r="AC147" i="1"/>
  <c r="Z147" i="1"/>
  <c r="W147" i="1"/>
  <c r="U147" i="1"/>
  <c r="S147" i="1"/>
  <c r="Q147" i="1"/>
  <c r="O147" i="1"/>
  <c r="M147" i="1"/>
  <c r="K147" i="1"/>
  <c r="I147" i="1"/>
  <c r="G147" i="1"/>
  <c r="E147" i="1"/>
  <c r="AC146" i="1"/>
  <c r="Z146" i="1"/>
  <c r="W146" i="1"/>
  <c r="U146" i="1"/>
  <c r="S146" i="1"/>
  <c r="Q146" i="1"/>
  <c r="O146" i="1"/>
  <c r="M146" i="1"/>
  <c r="K146" i="1"/>
  <c r="I146" i="1"/>
  <c r="G146" i="1"/>
  <c r="E146" i="1"/>
  <c r="AC145" i="1"/>
  <c r="Z145" i="1"/>
  <c r="W145" i="1"/>
  <c r="U145" i="1"/>
  <c r="S145" i="1"/>
  <c r="Q145" i="1"/>
  <c r="O145" i="1"/>
  <c r="L145" i="1"/>
  <c r="K145" i="1"/>
  <c r="I145" i="1"/>
  <c r="G145" i="1"/>
  <c r="E145" i="1"/>
  <c r="AC144" i="1"/>
  <c r="Z144" i="1"/>
  <c r="W144" i="1"/>
  <c r="U144" i="1"/>
  <c r="S144" i="1"/>
  <c r="Q144" i="1"/>
  <c r="O144" i="1"/>
  <c r="M144" i="1"/>
  <c r="K144" i="1"/>
  <c r="I144" i="1"/>
  <c r="G144" i="1"/>
  <c r="E144" i="1"/>
  <c r="AC143" i="1"/>
  <c r="Z143" i="1"/>
  <c r="W143" i="1"/>
  <c r="U143" i="1"/>
  <c r="S143" i="1"/>
  <c r="Q143" i="1"/>
  <c r="O143" i="1"/>
  <c r="M143" i="1"/>
  <c r="K143" i="1"/>
  <c r="I143" i="1"/>
  <c r="G143" i="1"/>
  <c r="E143" i="1"/>
  <c r="AC142" i="1"/>
  <c r="Z142" i="1"/>
  <c r="W142" i="1"/>
  <c r="U142" i="1"/>
  <c r="S142" i="1"/>
  <c r="Q142" i="1"/>
  <c r="O142" i="1"/>
  <c r="M142" i="1"/>
  <c r="K142" i="1"/>
  <c r="I142" i="1"/>
  <c r="G142" i="1"/>
  <c r="E142" i="1"/>
  <c r="AC141" i="1"/>
  <c r="Z141" i="1"/>
  <c r="W141" i="1"/>
  <c r="U141" i="1"/>
  <c r="S141" i="1"/>
  <c r="Q141" i="1"/>
  <c r="O141" i="1"/>
  <c r="M141" i="1"/>
  <c r="K141" i="1"/>
  <c r="I141" i="1"/>
  <c r="G141" i="1"/>
  <c r="E141" i="1"/>
  <c r="AC140" i="1"/>
  <c r="Z140" i="1"/>
  <c r="W140" i="1"/>
  <c r="U140" i="1"/>
  <c r="S140" i="1"/>
  <c r="Q140" i="1"/>
  <c r="O140" i="1"/>
  <c r="M140" i="1"/>
  <c r="K140" i="1"/>
  <c r="I140" i="1"/>
  <c r="G140" i="1"/>
  <c r="E140" i="1"/>
  <c r="AC139" i="1"/>
  <c r="Z139" i="1"/>
  <c r="W139" i="1"/>
  <c r="U139" i="1"/>
  <c r="S139" i="1"/>
  <c r="Q139" i="1"/>
  <c r="O139" i="1"/>
  <c r="M139" i="1"/>
  <c r="K139" i="1"/>
  <c r="I139" i="1"/>
  <c r="G139" i="1"/>
  <c r="E139" i="1"/>
  <c r="AC138" i="1"/>
  <c r="Z138" i="1"/>
  <c r="W138" i="1"/>
  <c r="U138" i="1"/>
  <c r="S138" i="1"/>
  <c r="Q138" i="1"/>
  <c r="O138" i="1"/>
  <c r="M138" i="1"/>
  <c r="K138" i="1"/>
  <c r="I138" i="1"/>
  <c r="G138" i="1"/>
  <c r="E138" i="1"/>
  <c r="AC137" i="1"/>
  <c r="Z137" i="1"/>
  <c r="W137" i="1"/>
  <c r="U137" i="1"/>
  <c r="S137" i="1"/>
  <c r="Q137" i="1"/>
  <c r="O137" i="1"/>
  <c r="M137" i="1"/>
  <c r="K137" i="1"/>
  <c r="I137" i="1"/>
  <c r="G137" i="1"/>
  <c r="E137" i="1"/>
  <c r="AC136" i="1"/>
  <c r="Z136" i="1"/>
  <c r="W136" i="1"/>
  <c r="U136" i="1"/>
  <c r="S136" i="1"/>
  <c r="Q136" i="1"/>
  <c r="O136" i="1"/>
  <c r="M136" i="1"/>
  <c r="K136" i="1"/>
  <c r="I136" i="1"/>
  <c r="G136" i="1"/>
  <c r="E136" i="1"/>
  <c r="AC135" i="1"/>
  <c r="Z135" i="1"/>
  <c r="W135" i="1"/>
  <c r="U135" i="1"/>
  <c r="S135" i="1"/>
  <c r="Q135" i="1"/>
  <c r="O135" i="1"/>
  <c r="M135" i="1"/>
  <c r="K135" i="1"/>
  <c r="I135" i="1"/>
  <c r="G135" i="1"/>
  <c r="E135" i="1"/>
  <c r="AC134" i="1"/>
  <c r="Z134" i="1"/>
  <c r="W134" i="1"/>
  <c r="U134" i="1"/>
  <c r="S134" i="1"/>
  <c r="Q134" i="1"/>
  <c r="O134" i="1"/>
  <c r="M134" i="1"/>
  <c r="K134" i="1"/>
  <c r="I134" i="1"/>
  <c r="G134" i="1"/>
  <c r="E134" i="1"/>
  <c r="AC133" i="1"/>
  <c r="Z133" i="1"/>
  <c r="W133" i="1"/>
  <c r="U133" i="1"/>
  <c r="S133" i="1"/>
  <c r="Q133" i="1"/>
  <c r="O133" i="1"/>
  <c r="M133" i="1"/>
  <c r="K133" i="1"/>
  <c r="I133" i="1"/>
  <c r="G133" i="1"/>
  <c r="E133" i="1"/>
  <c r="AC132" i="1"/>
  <c r="Z132" i="1"/>
  <c r="W132" i="1"/>
  <c r="U132" i="1"/>
  <c r="S132" i="1"/>
  <c r="Q132" i="1"/>
  <c r="O132" i="1"/>
  <c r="M132" i="1"/>
  <c r="K132" i="1"/>
  <c r="I132" i="1"/>
  <c r="G132" i="1"/>
  <c r="E132" i="1"/>
  <c r="AC131" i="1"/>
  <c r="Z131" i="1"/>
  <c r="W131" i="1"/>
  <c r="U131" i="1"/>
  <c r="S131" i="1"/>
  <c r="Q131" i="1"/>
  <c r="O131" i="1"/>
  <c r="M131" i="1"/>
  <c r="K131" i="1"/>
  <c r="I131" i="1"/>
  <c r="G131" i="1"/>
  <c r="E131" i="1"/>
  <c r="AC130" i="1"/>
  <c r="Z130" i="1"/>
  <c r="W130" i="1"/>
  <c r="U130" i="1"/>
  <c r="S130" i="1"/>
  <c r="Q130" i="1"/>
  <c r="O130" i="1"/>
  <c r="M130" i="1"/>
  <c r="K130" i="1"/>
  <c r="I130" i="1"/>
  <c r="G130" i="1"/>
  <c r="E130" i="1"/>
  <c r="AC129" i="1"/>
  <c r="Z129" i="1"/>
  <c r="W129" i="1"/>
  <c r="U129" i="1"/>
  <c r="S129" i="1"/>
  <c r="Q129" i="1"/>
  <c r="O129" i="1"/>
  <c r="M129" i="1"/>
  <c r="K129" i="1"/>
  <c r="I129" i="1"/>
  <c r="G129" i="1"/>
  <c r="E129" i="1"/>
  <c r="AC128" i="1"/>
  <c r="Z128" i="1"/>
  <c r="W128" i="1"/>
  <c r="U128" i="1"/>
  <c r="S128" i="1"/>
  <c r="Q128" i="1"/>
  <c r="O128" i="1"/>
  <c r="M128" i="1"/>
  <c r="K128" i="1"/>
  <c r="I128" i="1"/>
  <c r="G128" i="1"/>
  <c r="E128" i="1"/>
  <c r="AC127" i="1"/>
  <c r="Z127" i="1"/>
  <c r="W127" i="1"/>
  <c r="U127" i="1"/>
  <c r="S127" i="1"/>
  <c r="Q127" i="1"/>
  <c r="O127" i="1"/>
  <c r="M127" i="1"/>
  <c r="K127" i="1"/>
  <c r="I127" i="1"/>
  <c r="G127" i="1"/>
  <c r="E127" i="1"/>
  <c r="AC126" i="1"/>
  <c r="Z126" i="1"/>
  <c r="W126" i="1"/>
  <c r="U126" i="1"/>
  <c r="S126" i="1"/>
  <c r="Q126" i="1"/>
  <c r="O126" i="1"/>
  <c r="M126" i="1"/>
  <c r="K126" i="1"/>
  <c r="I126" i="1"/>
  <c r="G126" i="1"/>
  <c r="E126" i="1"/>
  <c r="AC125" i="1"/>
  <c r="Z125" i="1"/>
  <c r="W125" i="1"/>
  <c r="U125" i="1"/>
  <c r="S125" i="1"/>
  <c r="Q125" i="1"/>
  <c r="O125" i="1"/>
  <c r="M125" i="1"/>
  <c r="K125" i="1"/>
  <c r="I125" i="1"/>
  <c r="G125" i="1"/>
  <c r="E125" i="1"/>
  <c r="AC124" i="1"/>
  <c r="Z124" i="1"/>
  <c r="W124" i="1"/>
  <c r="U124" i="1"/>
  <c r="S124" i="1"/>
  <c r="Q124" i="1"/>
  <c r="O124" i="1"/>
  <c r="M124" i="1"/>
  <c r="K124" i="1"/>
  <c r="I124" i="1"/>
  <c r="G124" i="1"/>
  <c r="E124" i="1"/>
  <c r="AC123" i="1"/>
  <c r="Z123" i="1"/>
  <c r="W123" i="1"/>
  <c r="U123" i="1"/>
  <c r="S123" i="1"/>
  <c r="Q123" i="1"/>
  <c r="O123" i="1"/>
  <c r="M123" i="1"/>
  <c r="K123" i="1"/>
  <c r="I123" i="1"/>
  <c r="G123" i="1"/>
  <c r="E123" i="1"/>
  <c r="AC122" i="1"/>
  <c r="Z122" i="1"/>
  <c r="W122" i="1"/>
  <c r="U122" i="1"/>
  <c r="S122" i="1"/>
  <c r="Q122" i="1"/>
  <c r="O122" i="1"/>
  <c r="M122" i="1"/>
  <c r="K122" i="1"/>
  <c r="I122" i="1"/>
  <c r="G122" i="1"/>
  <c r="E122" i="1"/>
  <c r="AC121" i="1"/>
  <c r="AD121" i="1" s="1"/>
  <c r="Z121" i="1"/>
  <c r="W121" i="1"/>
  <c r="U121" i="1"/>
  <c r="S121" i="1"/>
  <c r="Q121" i="1"/>
  <c r="O121" i="1"/>
  <c r="M121" i="1"/>
  <c r="K121" i="1"/>
  <c r="I121" i="1"/>
  <c r="G121" i="1"/>
  <c r="E121" i="1"/>
  <c r="AC120" i="1"/>
  <c r="Z120" i="1"/>
  <c r="W120" i="1"/>
  <c r="U120" i="1"/>
  <c r="S120" i="1"/>
  <c r="Q120" i="1"/>
  <c r="O120" i="1"/>
  <c r="M120" i="1"/>
  <c r="K120" i="1"/>
  <c r="I120" i="1"/>
  <c r="G120" i="1"/>
  <c r="E120" i="1"/>
  <c r="AC119" i="1"/>
  <c r="Z119" i="1"/>
  <c r="W119" i="1"/>
  <c r="U119" i="1"/>
  <c r="S119" i="1"/>
  <c r="Q119" i="1"/>
  <c r="O119" i="1"/>
  <c r="M119" i="1"/>
  <c r="K119" i="1"/>
  <c r="I119" i="1"/>
  <c r="G119" i="1"/>
  <c r="E119" i="1"/>
  <c r="AC118" i="1"/>
  <c r="Z118" i="1"/>
  <c r="W118" i="1"/>
  <c r="U118" i="1"/>
  <c r="S118" i="1"/>
  <c r="Q118" i="1"/>
  <c r="O118" i="1"/>
  <c r="M118" i="1"/>
  <c r="K118" i="1"/>
  <c r="I118" i="1"/>
  <c r="G118" i="1"/>
  <c r="E118" i="1"/>
  <c r="AC117" i="1"/>
  <c r="Z117" i="1"/>
  <c r="W117" i="1"/>
  <c r="X117" i="1" s="1"/>
  <c r="U117" i="1"/>
  <c r="S117" i="1"/>
  <c r="Q117" i="1"/>
  <c r="O117" i="1"/>
  <c r="M117" i="1"/>
  <c r="K117" i="1"/>
  <c r="I117" i="1"/>
  <c r="G117" i="1"/>
  <c r="E117" i="1"/>
  <c r="AC116" i="1"/>
  <c r="Z116" i="1"/>
  <c r="W116" i="1"/>
  <c r="U116" i="1"/>
  <c r="S116" i="1"/>
  <c r="Q116" i="1"/>
  <c r="O116" i="1"/>
  <c r="M116" i="1"/>
  <c r="K116" i="1"/>
  <c r="I116" i="1"/>
  <c r="G116" i="1"/>
  <c r="E116" i="1"/>
  <c r="AC115" i="1"/>
  <c r="Z115" i="1"/>
  <c r="W115" i="1"/>
  <c r="U115" i="1"/>
  <c r="S115" i="1"/>
  <c r="Q115" i="1"/>
  <c r="O115" i="1"/>
  <c r="M115" i="1"/>
  <c r="K115" i="1"/>
  <c r="I115" i="1"/>
  <c r="G115" i="1"/>
  <c r="E115" i="1"/>
  <c r="AC114" i="1"/>
  <c r="Z114" i="1"/>
  <c r="W114" i="1"/>
  <c r="U114" i="1"/>
  <c r="S114" i="1"/>
  <c r="Q114" i="1"/>
  <c r="O114" i="1"/>
  <c r="M114" i="1"/>
  <c r="K114" i="1"/>
  <c r="I114" i="1"/>
  <c r="G114" i="1"/>
  <c r="E114" i="1"/>
  <c r="AC113" i="1"/>
  <c r="Z113" i="1"/>
  <c r="W113" i="1"/>
  <c r="U113" i="1"/>
  <c r="S113" i="1"/>
  <c r="Q113" i="1"/>
  <c r="O113" i="1"/>
  <c r="M113" i="1"/>
  <c r="K113" i="1"/>
  <c r="I113" i="1"/>
  <c r="G113" i="1"/>
  <c r="E113" i="1"/>
  <c r="AC112" i="1"/>
  <c r="Z112" i="1"/>
  <c r="W112" i="1"/>
  <c r="U112" i="1"/>
  <c r="S112" i="1"/>
  <c r="Q112" i="1"/>
  <c r="O112" i="1"/>
  <c r="L112" i="1"/>
  <c r="K112" i="1"/>
  <c r="I112" i="1"/>
  <c r="G112" i="1"/>
  <c r="E112" i="1"/>
  <c r="AC111" i="1"/>
  <c r="Z111" i="1"/>
  <c r="W111" i="1"/>
  <c r="U111" i="1"/>
  <c r="S111" i="1"/>
  <c r="Q111" i="1"/>
  <c r="O111" i="1"/>
  <c r="L111" i="1"/>
  <c r="K111" i="1"/>
  <c r="I111" i="1"/>
  <c r="G111" i="1"/>
  <c r="E111" i="1"/>
  <c r="AC110" i="1"/>
  <c r="Z110" i="1"/>
  <c r="W110" i="1"/>
  <c r="U110" i="1"/>
  <c r="S110" i="1"/>
  <c r="Q110" i="1"/>
  <c r="O110" i="1"/>
  <c r="L110" i="1"/>
  <c r="K110" i="1"/>
  <c r="I110" i="1"/>
  <c r="G110" i="1"/>
  <c r="E110" i="1"/>
  <c r="AC109" i="1"/>
  <c r="Z109" i="1"/>
  <c r="W109" i="1"/>
  <c r="U109" i="1"/>
  <c r="S109" i="1"/>
  <c r="Q109" i="1"/>
  <c r="O109" i="1"/>
  <c r="L109" i="1"/>
  <c r="K109" i="1"/>
  <c r="I109" i="1"/>
  <c r="G109" i="1"/>
  <c r="E109" i="1"/>
  <c r="AC108" i="1"/>
  <c r="Z108" i="1"/>
  <c r="W108" i="1"/>
  <c r="U108" i="1"/>
  <c r="S108" i="1"/>
  <c r="Q108" i="1"/>
  <c r="O108" i="1"/>
  <c r="L108" i="1"/>
  <c r="K108" i="1"/>
  <c r="I108" i="1"/>
  <c r="G108" i="1"/>
  <c r="E108" i="1"/>
  <c r="AC107" i="1"/>
  <c r="Z107" i="1"/>
  <c r="W107" i="1"/>
  <c r="U107" i="1"/>
  <c r="S107" i="1"/>
  <c r="Q107" i="1"/>
  <c r="O107" i="1"/>
  <c r="L107" i="1"/>
  <c r="K107" i="1"/>
  <c r="I107" i="1"/>
  <c r="G107" i="1"/>
  <c r="E107" i="1"/>
  <c r="AC106" i="1"/>
  <c r="Z106" i="1"/>
  <c r="W106" i="1"/>
  <c r="U106" i="1"/>
  <c r="S106" i="1"/>
  <c r="Q106" i="1"/>
  <c r="O106" i="1"/>
  <c r="L106" i="1"/>
  <c r="K106" i="1"/>
  <c r="I106" i="1"/>
  <c r="G106" i="1"/>
  <c r="E106" i="1"/>
  <c r="AC105" i="1"/>
  <c r="Z105" i="1"/>
  <c r="W105" i="1"/>
  <c r="U105" i="1"/>
  <c r="S105" i="1"/>
  <c r="Q105" i="1"/>
  <c r="O105" i="1"/>
  <c r="L105" i="1"/>
  <c r="K105" i="1"/>
  <c r="I105" i="1"/>
  <c r="G105" i="1"/>
  <c r="E105" i="1"/>
  <c r="AC104" i="1"/>
  <c r="Z104" i="1"/>
  <c r="W104" i="1"/>
  <c r="U104" i="1"/>
  <c r="S104" i="1"/>
  <c r="Q104" i="1"/>
  <c r="O104" i="1"/>
  <c r="L104" i="1"/>
  <c r="K104" i="1"/>
  <c r="I104" i="1"/>
  <c r="G104" i="1"/>
  <c r="E104" i="1"/>
  <c r="AC103" i="1"/>
  <c r="Z103" i="1"/>
  <c r="W103" i="1"/>
  <c r="U103" i="1"/>
  <c r="S103" i="1"/>
  <c r="Q103" i="1"/>
  <c r="O103" i="1"/>
  <c r="L103" i="1"/>
  <c r="K103" i="1"/>
  <c r="I103" i="1"/>
  <c r="G103" i="1"/>
  <c r="E103" i="1"/>
  <c r="AC102" i="1"/>
  <c r="Z102" i="1"/>
  <c r="W102" i="1"/>
  <c r="U102" i="1"/>
  <c r="S102" i="1"/>
  <c r="Q102" i="1"/>
  <c r="O102" i="1"/>
  <c r="L102" i="1"/>
  <c r="K102" i="1"/>
  <c r="I102" i="1"/>
  <c r="G102" i="1"/>
  <c r="E102" i="1"/>
  <c r="AC101" i="1"/>
  <c r="Z101" i="1"/>
  <c r="W101" i="1"/>
  <c r="U101" i="1"/>
  <c r="S101" i="1"/>
  <c r="Q101" i="1"/>
  <c r="O101" i="1"/>
  <c r="L101" i="1"/>
  <c r="K101" i="1"/>
  <c r="I101" i="1"/>
  <c r="G101" i="1"/>
  <c r="E101" i="1"/>
  <c r="AC100" i="1"/>
  <c r="Z100" i="1"/>
  <c r="X100" i="1"/>
  <c r="U100" i="1"/>
  <c r="S100" i="1"/>
  <c r="Q100" i="1"/>
  <c r="O100" i="1"/>
  <c r="L100" i="1"/>
  <c r="K100" i="1"/>
  <c r="I100" i="1"/>
  <c r="G100" i="1"/>
  <c r="E100" i="1"/>
  <c r="AC99" i="1"/>
  <c r="Z99" i="1"/>
  <c r="W99" i="1"/>
  <c r="U99" i="1"/>
  <c r="S99" i="1"/>
  <c r="Q99" i="1"/>
  <c r="O99" i="1"/>
  <c r="L99" i="1"/>
  <c r="K99" i="1"/>
  <c r="I99" i="1"/>
  <c r="G99" i="1"/>
  <c r="E99" i="1"/>
  <c r="AC98" i="1"/>
  <c r="Z98" i="1"/>
  <c r="W98" i="1"/>
  <c r="U98" i="1"/>
  <c r="S98" i="1"/>
  <c r="Q98" i="1"/>
  <c r="O98" i="1"/>
  <c r="L98" i="1"/>
  <c r="K98" i="1"/>
  <c r="I98" i="1"/>
  <c r="G98" i="1"/>
  <c r="E98" i="1"/>
  <c r="AC97" i="1"/>
  <c r="Z97" i="1"/>
  <c r="W97" i="1"/>
  <c r="U97" i="1"/>
  <c r="S97" i="1"/>
  <c r="Q97" i="1"/>
  <c r="O97" i="1"/>
  <c r="L97" i="1"/>
  <c r="K97" i="1"/>
  <c r="I97" i="1"/>
  <c r="G97" i="1"/>
  <c r="E97" i="1"/>
  <c r="AC96" i="1"/>
  <c r="Z96" i="1"/>
  <c r="W96" i="1"/>
  <c r="U96" i="1"/>
  <c r="S96" i="1"/>
  <c r="Q96" i="1"/>
  <c r="O96" i="1"/>
  <c r="M96" i="1"/>
  <c r="K96" i="1"/>
  <c r="I96" i="1"/>
  <c r="G96" i="1"/>
  <c r="E96" i="1"/>
  <c r="AC95" i="1"/>
  <c r="Z95" i="1"/>
  <c r="W95" i="1"/>
  <c r="U95" i="1"/>
  <c r="S95" i="1"/>
  <c r="Q95" i="1"/>
  <c r="O95" i="1"/>
  <c r="M95" i="1"/>
  <c r="K95" i="1"/>
  <c r="I95" i="1"/>
  <c r="G95" i="1"/>
  <c r="E95" i="1"/>
  <c r="AC94" i="1"/>
  <c r="Z94" i="1"/>
  <c r="W94" i="1"/>
  <c r="U94" i="1"/>
  <c r="S94" i="1"/>
  <c r="Q94" i="1"/>
  <c r="O94" i="1"/>
  <c r="M94" i="1"/>
  <c r="K94" i="1"/>
  <c r="I94" i="1"/>
  <c r="G94" i="1"/>
  <c r="E94" i="1"/>
  <c r="AC93" i="1"/>
  <c r="Z93" i="1"/>
  <c r="W93" i="1"/>
  <c r="U93" i="1"/>
  <c r="S93" i="1"/>
  <c r="Q93" i="1"/>
  <c r="O93" i="1"/>
  <c r="M93" i="1"/>
  <c r="K93" i="1"/>
  <c r="I93" i="1"/>
  <c r="G93" i="1"/>
  <c r="E93" i="1"/>
  <c r="AC92" i="1"/>
  <c r="Z92" i="1"/>
  <c r="W92" i="1"/>
  <c r="U92" i="1"/>
  <c r="S92" i="1"/>
  <c r="Q92" i="1"/>
  <c r="O92" i="1"/>
  <c r="M92" i="1"/>
  <c r="K92" i="1"/>
  <c r="I92" i="1"/>
  <c r="G92" i="1"/>
  <c r="E92" i="1"/>
  <c r="AC91" i="1"/>
  <c r="Z91" i="1"/>
  <c r="W91" i="1"/>
  <c r="U91" i="1"/>
  <c r="S91" i="1"/>
  <c r="Q91" i="1"/>
  <c r="O91" i="1"/>
  <c r="M91" i="1"/>
  <c r="K91" i="1"/>
  <c r="I91" i="1"/>
  <c r="G91" i="1"/>
  <c r="E91" i="1"/>
  <c r="AC90" i="1"/>
  <c r="Z90" i="1"/>
  <c r="W90" i="1"/>
  <c r="U90" i="1"/>
  <c r="S90" i="1"/>
  <c r="Q90" i="1"/>
  <c r="O90" i="1"/>
  <c r="M90" i="1"/>
  <c r="K90" i="1"/>
  <c r="I90" i="1"/>
  <c r="G90" i="1"/>
  <c r="E90" i="1"/>
  <c r="AC89" i="1"/>
  <c r="Z89" i="1"/>
  <c r="W89" i="1"/>
  <c r="U89" i="1"/>
  <c r="S89" i="1"/>
  <c r="Q89" i="1"/>
  <c r="O89" i="1"/>
  <c r="M89" i="1"/>
  <c r="K89" i="1"/>
  <c r="I89" i="1"/>
  <c r="G89" i="1"/>
  <c r="E89" i="1"/>
  <c r="AC88" i="1"/>
  <c r="Z88" i="1"/>
  <c r="W88" i="1"/>
  <c r="U88" i="1"/>
  <c r="S88" i="1"/>
  <c r="Q88" i="1"/>
  <c r="O88" i="1"/>
  <c r="M88" i="1"/>
  <c r="K88" i="1"/>
  <c r="I88" i="1"/>
  <c r="G88" i="1"/>
  <c r="E88" i="1"/>
  <c r="AC87" i="1"/>
  <c r="Z87" i="1"/>
  <c r="W87" i="1"/>
  <c r="U87" i="1"/>
  <c r="S87" i="1"/>
  <c r="Q87" i="1"/>
  <c r="O87" i="1"/>
  <c r="M87" i="1"/>
  <c r="K87" i="1"/>
  <c r="I87" i="1"/>
  <c r="G87" i="1"/>
  <c r="E87" i="1"/>
  <c r="AC86" i="1"/>
  <c r="Z86" i="1"/>
  <c r="W86" i="1"/>
  <c r="U86" i="1"/>
  <c r="S86" i="1"/>
  <c r="Q86" i="1"/>
  <c r="O86" i="1"/>
  <c r="M86" i="1"/>
  <c r="K86" i="1"/>
  <c r="I86" i="1"/>
  <c r="G86" i="1"/>
  <c r="E86" i="1"/>
  <c r="AC85" i="1"/>
  <c r="Z85" i="1"/>
  <c r="W85" i="1"/>
  <c r="U85" i="1"/>
  <c r="S85" i="1"/>
  <c r="Q85" i="1"/>
  <c r="O85" i="1"/>
  <c r="M85" i="1"/>
  <c r="K85" i="1"/>
  <c r="I85" i="1"/>
  <c r="G85" i="1"/>
  <c r="E85" i="1"/>
  <c r="AC84" i="1"/>
  <c r="Z84" i="1"/>
  <c r="W84" i="1"/>
  <c r="U84" i="1"/>
  <c r="S84" i="1"/>
  <c r="Q84" i="1"/>
  <c r="O84" i="1"/>
  <c r="M84" i="1"/>
  <c r="K84" i="1"/>
  <c r="I84" i="1"/>
  <c r="G84" i="1"/>
  <c r="E84" i="1"/>
  <c r="AC83" i="1"/>
  <c r="Z83" i="1"/>
  <c r="W83" i="1"/>
  <c r="U83" i="1"/>
  <c r="S83" i="1"/>
  <c r="Q83" i="1"/>
  <c r="O83" i="1"/>
  <c r="M83" i="1"/>
  <c r="K83" i="1"/>
  <c r="I83" i="1"/>
  <c r="G83" i="1"/>
  <c r="E83" i="1"/>
  <c r="AC82" i="1"/>
  <c r="Z82" i="1"/>
  <c r="W82" i="1"/>
  <c r="U82" i="1"/>
  <c r="S82" i="1"/>
  <c r="Q82" i="1"/>
  <c r="O82" i="1"/>
  <c r="M82" i="1"/>
  <c r="K82" i="1"/>
  <c r="I82" i="1"/>
  <c r="G82" i="1"/>
  <c r="E82" i="1"/>
  <c r="AC81" i="1"/>
  <c r="Z81" i="1"/>
  <c r="W81" i="1"/>
  <c r="U81" i="1"/>
  <c r="S81" i="1"/>
  <c r="Q81" i="1"/>
  <c r="O81" i="1"/>
  <c r="M81" i="1"/>
  <c r="K81" i="1"/>
  <c r="I81" i="1"/>
  <c r="G81" i="1"/>
  <c r="E81" i="1"/>
  <c r="AC80" i="1"/>
  <c r="Z80" i="1"/>
  <c r="W80" i="1"/>
  <c r="U80" i="1"/>
  <c r="S80" i="1"/>
  <c r="Q80" i="1"/>
  <c r="O80" i="1"/>
  <c r="M80" i="1"/>
  <c r="K80" i="1"/>
  <c r="I80" i="1"/>
  <c r="G80" i="1"/>
  <c r="E80" i="1"/>
  <c r="AC79" i="1"/>
  <c r="Z79" i="1"/>
  <c r="W79" i="1"/>
  <c r="U79" i="1"/>
  <c r="S79" i="1"/>
  <c r="Q79" i="1"/>
  <c r="O79" i="1"/>
  <c r="M79" i="1"/>
  <c r="K79" i="1"/>
  <c r="I79" i="1"/>
  <c r="G79" i="1"/>
  <c r="E79" i="1"/>
  <c r="AC78" i="1"/>
  <c r="Z78" i="1"/>
  <c r="W78" i="1"/>
  <c r="U78" i="1"/>
  <c r="S78" i="1"/>
  <c r="Q78" i="1"/>
  <c r="O78" i="1"/>
  <c r="M78" i="1"/>
  <c r="K78" i="1"/>
  <c r="I78" i="1"/>
  <c r="G78" i="1"/>
  <c r="E78" i="1"/>
  <c r="AC77" i="1"/>
  <c r="Z77" i="1"/>
  <c r="W77" i="1"/>
  <c r="U77" i="1"/>
  <c r="S77" i="1"/>
  <c r="Q77" i="1"/>
  <c r="O77" i="1"/>
  <c r="M77" i="1"/>
  <c r="K77" i="1"/>
  <c r="I77" i="1"/>
  <c r="G77" i="1"/>
  <c r="E77" i="1"/>
  <c r="AC76" i="1"/>
  <c r="Z76" i="1"/>
  <c r="W76" i="1"/>
  <c r="U76" i="1"/>
  <c r="S76" i="1"/>
  <c r="Q76" i="1"/>
  <c r="O76" i="1"/>
  <c r="M76" i="1"/>
  <c r="K76" i="1"/>
  <c r="I76" i="1"/>
  <c r="G76" i="1"/>
  <c r="E76" i="1"/>
  <c r="AC75" i="1"/>
  <c r="Z75" i="1"/>
  <c r="W75" i="1"/>
  <c r="U75" i="1"/>
  <c r="S75" i="1"/>
  <c r="Q75" i="1"/>
  <c r="O75" i="1"/>
  <c r="M75" i="1"/>
  <c r="K75" i="1"/>
  <c r="I75" i="1"/>
  <c r="G75" i="1"/>
  <c r="E75" i="1"/>
  <c r="AC74" i="1"/>
  <c r="Z74" i="1"/>
  <c r="W74" i="1"/>
  <c r="U74" i="1"/>
  <c r="S74" i="1"/>
  <c r="Q74" i="1"/>
  <c r="O74" i="1"/>
  <c r="M74" i="1"/>
  <c r="K74" i="1"/>
  <c r="I74" i="1"/>
  <c r="G74" i="1"/>
  <c r="E74" i="1"/>
  <c r="AC73" i="1"/>
  <c r="Z73" i="1"/>
  <c r="W73" i="1"/>
  <c r="U73" i="1"/>
  <c r="S73" i="1"/>
  <c r="Q73" i="1"/>
  <c r="O73" i="1"/>
  <c r="M73" i="1"/>
  <c r="K73" i="1"/>
  <c r="I73" i="1"/>
  <c r="G73" i="1"/>
  <c r="E73" i="1"/>
  <c r="AC72" i="1"/>
  <c r="Z72" i="1"/>
  <c r="W72" i="1"/>
  <c r="U72" i="1"/>
  <c r="S72" i="1"/>
  <c r="Q72" i="1"/>
  <c r="O72" i="1"/>
  <c r="M72" i="1"/>
  <c r="K72" i="1"/>
  <c r="I72" i="1"/>
  <c r="G72" i="1"/>
  <c r="E72" i="1"/>
  <c r="AC71" i="1"/>
  <c r="Z71" i="1"/>
  <c r="W71" i="1"/>
  <c r="U71" i="1"/>
  <c r="S71" i="1"/>
  <c r="Q71" i="1"/>
  <c r="O71" i="1"/>
  <c r="M71" i="1"/>
  <c r="K71" i="1"/>
  <c r="I71" i="1"/>
  <c r="G71" i="1"/>
  <c r="E71" i="1"/>
  <c r="AC70" i="1"/>
  <c r="Z70" i="1"/>
  <c r="W70" i="1"/>
  <c r="U70" i="1"/>
  <c r="S70" i="1"/>
  <c r="Q70" i="1"/>
  <c r="O70" i="1"/>
  <c r="M70" i="1"/>
  <c r="K70" i="1"/>
  <c r="I70" i="1"/>
  <c r="G70" i="1"/>
  <c r="E70" i="1"/>
  <c r="AC69" i="1"/>
  <c r="Z69" i="1"/>
  <c r="W69" i="1"/>
  <c r="U69" i="1"/>
  <c r="S69" i="1"/>
  <c r="Q69" i="1"/>
  <c r="O69" i="1"/>
  <c r="M69" i="1"/>
  <c r="K69" i="1"/>
  <c r="I69" i="1"/>
  <c r="G69" i="1"/>
  <c r="E69" i="1"/>
  <c r="AC68" i="1"/>
  <c r="Z68" i="1"/>
  <c r="W68" i="1"/>
  <c r="U68" i="1"/>
  <c r="S68" i="1"/>
  <c r="Q68" i="1"/>
  <c r="O68" i="1"/>
  <c r="M68" i="1"/>
  <c r="K68" i="1"/>
  <c r="I68" i="1"/>
  <c r="G68" i="1"/>
  <c r="E68" i="1"/>
  <c r="AC67" i="1"/>
  <c r="Z67" i="1"/>
  <c r="W67" i="1"/>
  <c r="U67" i="1"/>
  <c r="S67" i="1"/>
  <c r="Q67" i="1"/>
  <c r="O67" i="1"/>
  <c r="M67" i="1"/>
  <c r="K67" i="1"/>
  <c r="I67" i="1"/>
  <c r="G67" i="1"/>
  <c r="E67" i="1"/>
  <c r="AC66" i="1"/>
  <c r="Z66" i="1"/>
  <c r="W66" i="1"/>
  <c r="U66" i="1"/>
  <c r="S66" i="1"/>
  <c r="Q66" i="1"/>
  <c r="O66" i="1"/>
  <c r="M66" i="1"/>
  <c r="K66" i="1"/>
  <c r="I66" i="1"/>
  <c r="G66" i="1"/>
  <c r="E66" i="1"/>
  <c r="AC65" i="1"/>
  <c r="Z65" i="1"/>
  <c r="W65" i="1"/>
  <c r="U65" i="1"/>
  <c r="S65" i="1"/>
  <c r="Q65" i="1"/>
  <c r="O65" i="1"/>
  <c r="M65" i="1"/>
  <c r="K65" i="1"/>
  <c r="I65" i="1"/>
  <c r="G65" i="1"/>
  <c r="E65" i="1"/>
  <c r="AC64" i="1"/>
  <c r="Z64" i="1"/>
  <c r="W64" i="1"/>
  <c r="U64" i="1"/>
  <c r="S64" i="1"/>
  <c r="Q64" i="1"/>
  <c r="O64" i="1"/>
  <c r="M64" i="1"/>
  <c r="K64" i="1"/>
  <c r="I64" i="1"/>
  <c r="G64" i="1"/>
  <c r="E64" i="1"/>
  <c r="AC63" i="1"/>
  <c r="Z63" i="1"/>
  <c r="W63" i="1"/>
  <c r="U63" i="1"/>
  <c r="S63" i="1"/>
  <c r="Q63" i="1"/>
  <c r="O63" i="1"/>
  <c r="M63" i="1"/>
  <c r="K63" i="1"/>
  <c r="I63" i="1"/>
  <c r="G63" i="1"/>
  <c r="E63" i="1"/>
  <c r="AC62" i="1"/>
  <c r="Z62" i="1"/>
  <c r="W62" i="1"/>
  <c r="U62" i="1"/>
  <c r="S62" i="1"/>
  <c r="Q62" i="1"/>
  <c r="O62" i="1"/>
  <c r="M62" i="1"/>
  <c r="K62" i="1"/>
  <c r="I62" i="1"/>
  <c r="G62" i="1"/>
  <c r="E62" i="1"/>
  <c r="AC61" i="1"/>
  <c r="Z61" i="1"/>
  <c r="W61" i="1"/>
  <c r="U61" i="1"/>
  <c r="S61" i="1"/>
  <c r="Q61" i="1"/>
  <c r="O61" i="1"/>
  <c r="M61" i="1"/>
  <c r="K61" i="1"/>
  <c r="I61" i="1"/>
  <c r="G61" i="1"/>
  <c r="E61" i="1"/>
  <c r="AC60" i="1"/>
  <c r="Z60" i="1"/>
  <c r="W60" i="1"/>
  <c r="U60" i="1"/>
  <c r="S60" i="1"/>
  <c r="Q60" i="1"/>
  <c r="O60" i="1"/>
  <c r="M60" i="1"/>
  <c r="K60" i="1"/>
  <c r="I60" i="1"/>
  <c r="G60" i="1"/>
  <c r="E60" i="1"/>
  <c r="AC59" i="1"/>
  <c r="Z59" i="1"/>
  <c r="W59" i="1"/>
  <c r="U59" i="1"/>
  <c r="S59" i="1"/>
  <c r="Q59" i="1"/>
  <c r="O59" i="1"/>
  <c r="M59" i="1"/>
  <c r="K59" i="1"/>
  <c r="I59" i="1"/>
  <c r="E59" i="1"/>
  <c r="AC58" i="1"/>
  <c r="Z58" i="1"/>
  <c r="W58" i="1"/>
  <c r="U58" i="1"/>
  <c r="S58" i="1"/>
  <c r="Q58" i="1"/>
  <c r="O58" i="1"/>
  <c r="M58" i="1"/>
  <c r="K58" i="1"/>
  <c r="I58" i="1"/>
  <c r="G58" i="1"/>
  <c r="E58" i="1"/>
  <c r="AC57" i="1"/>
  <c r="Z57" i="1"/>
  <c r="W57" i="1"/>
  <c r="U57" i="1"/>
  <c r="S57" i="1"/>
  <c r="Q57" i="1"/>
  <c r="O57" i="1"/>
  <c r="M57" i="1"/>
  <c r="K57" i="1"/>
  <c r="I57" i="1"/>
  <c r="G57" i="1"/>
  <c r="E57" i="1"/>
  <c r="AC56" i="1"/>
  <c r="Z56" i="1"/>
  <c r="W56" i="1"/>
  <c r="U56" i="1"/>
  <c r="S56" i="1"/>
  <c r="Q56" i="1"/>
  <c r="O56" i="1"/>
  <c r="M56" i="1"/>
  <c r="K56" i="1"/>
  <c r="I56" i="1"/>
  <c r="G56" i="1"/>
  <c r="E56" i="1"/>
  <c r="AC55" i="1"/>
  <c r="Z55" i="1"/>
  <c r="W55" i="1"/>
  <c r="U55" i="1"/>
  <c r="S55" i="1"/>
  <c r="Q55" i="1"/>
  <c r="O55" i="1"/>
  <c r="M55" i="1"/>
  <c r="K55" i="1"/>
  <c r="I55" i="1"/>
  <c r="G55" i="1"/>
  <c r="E55" i="1"/>
  <c r="AC54" i="1"/>
  <c r="Z54" i="1"/>
  <c r="W54" i="1"/>
  <c r="U54" i="1"/>
  <c r="S54" i="1"/>
  <c r="Q54" i="1"/>
  <c r="O54" i="1"/>
  <c r="M54" i="1"/>
  <c r="K54" i="1"/>
  <c r="I54" i="1"/>
  <c r="G54" i="1"/>
  <c r="E54" i="1"/>
  <c r="AC53" i="1"/>
  <c r="Z53" i="1"/>
  <c r="W53" i="1"/>
  <c r="U53" i="1"/>
  <c r="S53" i="1"/>
  <c r="Q53" i="1"/>
  <c r="O53" i="1"/>
  <c r="M53" i="1"/>
  <c r="K53" i="1"/>
  <c r="I53" i="1"/>
  <c r="G53" i="1"/>
  <c r="E53" i="1"/>
  <c r="AC52" i="1"/>
  <c r="Z52" i="1"/>
  <c r="W52" i="1"/>
  <c r="U52" i="1"/>
  <c r="S52" i="1"/>
  <c r="Q52" i="1"/>
  <c r="O52" i="1"/>
  <c r="M52" i="1"/>
  <c r="K52" i="1"/>
  <c r="I52" i="1"/>
  <c r="G52" i="1"/>
  <c r="E52" i="1"/>
  <c r="AC51" i="1"/>
  <c r="Z51" i="1"/>
  <c r="W51" i="1"/>
  <c r="U51" i="1"/>
  <c r="S51" i="1"/>
  <c r="Q51" i="1"/>
  <c r="O51" i="1"/>
  <c r="M51" i="1"/>
  <c r="K51" i="1"/>
  <c r="I51" i="1"/>
  <c r="G51" i="1"/>
  <c r="E51" i="1"/>
  <c r="AC50" i="1"/>
  <c r="Z50" i="1"/>
  <c r="W50" i="1"/>
  <c r="U50" i="1"/>
  <c r="S50" i="1"/>
  <c r="Q50" i="1"/>
  <c r="O50" i="1"/>
  <c r="M50" i="1"/>
  <c r="K50" i="1"/>
  <c r="I50" i="1"/>
  <c r="G50" i="1"/>
  <c r="E50" i="1"/>
  <c r="AC49" i="1"/>
  <c r="Z49" i="1"/>
  <c r="W49" i="1"/>
  <c r="U49" i="1"/>
  <c r="S49" i="1"/>
  <c r="Q49" i="1"/>
  <c r="O49" i="1"/>
  <c r="M49" i="1"/>
  <c r="K49" i="1"/>
  <c r="I49" i="1"/>
  <c r="G49" i="1"/>
  <c r="E49" i="1"/>
  <c r="AC48" i="1"/>
  <c r="Z48" i="1"/>
  <c r="W48" i="1"/>
  <c r="U48" i="1"/>
  <c r="S48" i="1"/>
  <c r="Q48" i="1"/>
  <c r="O48" i="1"/>
  <c r="M48" i="1"/>
  <c r="K48" i="1"/>
  <c r="I48" i="1"/>
  <c r="G48" i="1"/>
  <c r="E48" i="1"/>
  <c r="AC47" i="1"/>
  <c r="Z47" i="1"/>
  <c r="W47" i="1"/>
  <c r="U47" i="1"/>
  <c r="S47" i="1"/>
  <c r="Q47" i="1"/>
  <c r="O47" i="1"/>
  <c r="M47" i="1"/>
  <c r="K47" i="1"/>
  <c r="I47" i="1"/>
  <c r="G47" i="1"/>
  <c r="E47" i="1"/>
  <c r="AC46" i="1"/>
  <c r="Z46" i="1"/>
  <c r="W46" i="1"/>
  <c r="U46" i="1"/>
  <c r="S46" i="1"/>
  <c r="Q46" i="1"/>
  <c r="O46" i="1"/>
  <c r="M46" i="1"/>
  <c r="K46" i="1"/>
  <c r="I46" i="1"/>
  <c r="G46" i="1"/>
  <c r="E46" i="1"/>
  <c r="AC45" i="1"/>
  <c r="Z45" i="1"/>
  <c r="W45" i="1"/>
  <c r="U45" i="1"/>
  <c r="S45" i="1"/>
  <c r="Q45" i="1"/>
  <c r="O45" i="1"/>
  <c r="M45" i="1"/>
  <c r="K45" i="1"/>
  <c r="I45" i="1"/>
  <c r="G45" i="1"/>
  <c r="E45" i="1"/>
  <c r="AC44" i="1"/>
  <c r="Z44" i="1"/>
  <c r="W44" i="1"/>
  <c r="U44" i="1"/>
  <c r="S44" i="1"/>
  <c r="Q44" i="1"/>
  <c r="O44" i="1"/>
  <c r="M44" i="1"/>
  <c r="K44" i="1"/>
  <c r="I44" i="1"/>
  <c r="G44" i="1"/>
  <c r="E44" i="1"/>
  <c r="AC43" i="1"/>
  <c r="Z43" i="1"/>
  <c r="W43" i="1"/>
  <c r="U43" i="1"/>
  <c r="S43" i="1"/>
  <c r="Q43" i="1"/>
  <c r="O43" i="1"/>
  <c r="M43" i="1"/>
  <c r="K43" i="1"/>
  <c r="I43" i="1"/>
  <c r="G43" i="1"/>
  <c r="E43" i="1"/>
  <c r="AC42" i="1"/>
  <c r="Z42" i="1"/>
  <c r="W42" i="1"/>
  <c r="U42" i="1"/>
  <c r="S42" i="1"/>
  <c r="Q42" i="1"/>
  <c r="O42" i="1"/>
  <c r="M42" i="1"/>
  <c r="K42" i="1"/>
  <c r="I42" i="1"/>
  <c r="G42" i="1"/>
  <c r="E42" i="1"/>
  <c r="AC41" i="1"/>
  <c r="Z41" i="1"/>
  <c r="W41" i="1"/>
  <c r="U41" i="1"/>
  <c r="S41" i="1"/>
  <c r="Q41" i="1"/>
  <c r="O41" i="1"/>
  <c r="M41" i="1"/>
  <c r="K41" i="1"/>
  <c r="I41" i="1"/>
  <c r="G41" i="1"/>
  <c r="E41" i="1"/>
  <c r="AC40" i="1"/>
  <c r="Z40" i="1"/>
  <c r="W40" i="1"/>
  <c r="U40" i="1"/>
  <c r="S40" i="1"/>
  <c r="Q40" i="1"/>
  <c r="O40" i="1"/>
  <c r="M40" i="1"/>
  <c r="K40" i="1"/>
  <c r="I40" i="1"/>
  <c r="G40" i="1"/>
  <c r="E40" i="1"/>
  <c r="AC39" i="1"/>
  <c r="Z39" i="1"/>
  <c r="W39" i="1"/>
  <c r="U39" i="1"/>
  <c r="S39" i="1"/>
  <c r="Q39" i="1"/>
  <c r="O39" i="1"/>
  <c r="M39" i="1"/>
  <c r="K39" i="1"/>
  <c r="I39" i="1"/>
  <c r="G39" i="1"/>
  <c r="E39" i="1"/>
  <c r="AC38" i="1"/>
  <c r="Z38" i="1"/>
  <c r="W38" i="1"/>
  <c r="U38" i="1"/>
  <c r="S38" i="1"/>
  <c r="Q38" i="1"/>
  <c r="O38" i="1"/>
  <c r="M38" i="1"/>
  <c r="K38" i="1"/>
  <c r="I38" i="1"/>
  <c r="G38" i="1"/>
  <c r="E38" i="1"/>
  <c r="AC37" i="1"/>
  <c r="Z37" i="1"/>
  <c r="W37" i="1"/>
  <c r="U37" i="1"/>
  <c r="S37" i="1"/>
  <c r="Q37" i="1"/>
  <c r="O37" i="1"/>
  <c r="M37" i="1"/>
  <c r="K37" i="1"/>
  <c r="I37" i="1"/>
  <c r="G37" i="1"/>
  <c r="E37" i="1"/>
  <c r="AC36" i="1"/>
  <c r="Z36" i="1"/>
  <c r="W36" i="1"/>
  <c r="U36" i="1"/>
  <c r="S36" i="1"/>
  <c r="Q36" i="1"/>
  <c r="O36" i="1"/>
  <c r="M36" i="1"/>
  <c r="K36" i="1"/>
  <c r="I36" i="1"/>
  <c r="E36" i="1"/>
  <c r="AC35" i="1"/>
  <c r="Z35" i="1"/>
  <c r="W35" i="1"/>
  <c r="U35" i="1"/>
  <c r="S35" i="1"/>
  <c r="Q35" i="1"/>
  <c r="O35" i="1"/>
  <c r="M35" i="1"/>
  <c r="K35" i="1"/>
  <c r="I35" i="1"/>
  <c r="E35" i="1"/>
  <c r="AC34" i="1"/>
  <c r="Z34" i="1"/>
  <c r="W34" i="1"/>
  <c r="U34" i="1"/>
  <c r="S34" i="1"/>
  <c r="Q34" i="1"/>
  <c r="O34" i="1"/>
  <c r="M34" i="1"/>
  <c r="K34" i="1"/>
  <c r="I34" i="1"/>
  <c r="E34" i="1"/>
  <c r="AC33" i="1"/>
  <c r="Z33" i="1"/>
  <c r="W33" i="1"/>
  <c r="U33" i="1"/>
  <c r="S33" i="1"/>
  <c r="Q33" i="1"/>
  <c r="O33" i="1"/>
  <c r="M33" i="1"/>
  <c r="K33" i="1"/>
  <c r="I33" i="1"/>
  <c r="G33" i="1"/>
  <c r="E33" i="1"/>
  <c r="AD32" i="1"/>
  <c r="AA32" i="1"/>
  <c r="W32" i="1"/>
  <c r="U32" i="1"/>
  <c r="S32" i="1"/>
  <c r="Q32" i="1"/>
  <c r="O32" i="1"/>
  <c r="M32" i="1"/>
  <c r="K32" i="1"/>
  <c r="I32" i="1"/>
  <c r="G32" i="1"/>
  <c r="E32" i="1"/>
  <c r="AC31" i="1"/>
  <c r="AA31" i="1"/>
  <c r="W31" i="1"/>
  <c r="U31" i="1"/>
  <c r="S31" i="1"/>
  <c r="Q31" i="1"/>
  <c r="O31" i="1"/>
  <c r="M31" i="1"/>
  <c r="K31" i="1"/>
  <c r="I31" i="1"/>
  <c r="G31" i="1"/>
  <c r="E31" i="1"/>
  <c r="AC30" i="1"/>
  <c r="AA30" i="1"/>
  <c r="W30" i="1"/>
  <c r="U30" i="1"/>
  <c r="S30" i="1"/>
  <c r="Q30" i="1"/>
  <c r="O30" i="1"/>
  <c r="M30" i="1"/>
  <c r="K30" i="1"/>
  <c r="I30" i="1"/>
  <c r="G30" i="1"/>
  <c r="E30" i="1"/>
  <c r="AC29" i="1"/>
  <c r="Z29" i="1"/>
  <c r="W29" i="1"/>
  <c r="U29" i="1"/>
  <c r="S29" i="1"/>
  <c r="Q29" i="1"/>
  <c r="O29" i="1"/>
  <c r="M29" i="1"/>
  <c r="K29" i="1"/>
  <c r="I29" i="1"/>
  <c r="G29" i="1"/>
  <c r="E29" i="1"/>
  <c r="AC28" i="1"/>
  <c r="Z28" i="1"/>
  <c r="W28" i="1"/>
  <c r="U28" i="1"/>
  <c r="S28" i="1"/>
  <c r="Q28" i="1"/>
  <c r="O28" i="1"/>
  <c r="M28" i="1"/>
  <c r="K28" i="1"/>
  <c r="I28" i="1"/>
  <c r="G28" i="1"/>
  <c r="E28" i="1"/>
  <c r="AD27" i="1"/>
  <c r="AA27" i="1"/>
  <c r="W27" i="1"/>
  <c r="U27" i="1"/>
  <c r="S27" i="1"/>
  <c r="Q27" i="1"/>
  <c r="O27" i="1"/>
  <c r="M27" i="1"/>
  <c r="K27" i="1"/>
  <c r="I27" i="1"/>
  <c r="G27" i="1"/>
  <c r="E27" i="1"/>
  <c r="AD26" i="1"/>
  <c r="AA26" i="1"/>
  <c r="W26" i="1"/>
  <c r="U26" i="1"/>
  <c r="S26" i="1"/>
  <c r="Q26" i="1"/>
  <c r="O26" i="1"/>
  <c r="M26" i="1"/>
  <c r="K26" i="1"/>
  <c r="I26" i="1"/>
  <c r="G26" i="1"/>
  <c r="E26" i="1"/>
  <c r="AD25" i="1"/>
  <c r="AA25" i="1"/>
  <c r="W25" i="1"/>
  <c r="U25" i="1"/>
  <c r="S25" i="1"/>
  <c r="Q25" i="1"/>
  <c r="O25" i="1"/>
  <c r="M25" i="1"/>
  <c r="K25" i="1"/>
  <c r="I25" i="1"/>
  <c r="G25" i="1"/>
  <c r="E25" i="1"/>
  <c r="AD24" i="1"/>
  <c r="AA24" i="1"/>
  <c r="W24" i="1"/>
  <c r="U24" i="1"/>
  <c r="S24" i="1"/>
  <c r="Q24" i="1"/>
  <c r="O24" i="1"/>
  <c r="M24" i="1"/>
  <c r="K24" i="1"/>
  <c r="I24" i="1"/>
  <c r="G24" i="1"/>
  <c r="E24" i="1"/>
  <c r="AD23" i="1"/>
  <c r="AA23" i="1"/>
  <c r="W23" i="1"/>
  <c r="U23" i="1"/>
  <c r="S23" i="1"/>
  <c r="Q23" i="1"/>
  <c r="O23" i="1"/>
  <c r="M23" i="1"/>
  <c r="K23" i="1"/>
  <c r="I23" i="1"/>
  <c r="G23" i="1"/>
  <c r="E23" i="1"/>
  <c r="AD22" i="1"/>
  <c r="AA22" i="1"/>
  <c r="W22" i="1"/>
  <c r="U22" i="1"/>
  <c r="S22" i="1"/>
  <c r="Q22" i="1"/>
  <c r="O22" i="1"/>
  <c r="M22" i="1"/>
  <c r="K22" i="1"/>
  <c r="I22" i="1"/>
  <c r="G22" i="1"/>
  <c r="E22" i="1"/>
  <c r="AD21" i="1"/>
  <c r="AA21" i="1"/>
  <c r="W21" i="1"/>
  <c r="U21" i="1"/>
  <c r="S21" i="1"/>
  <c r="Q21" i="1"/>
  <c r="O21" i="1"/>
  <c r="M21" i="1"/>
  <c r="K21" i="1"/>
  <c r="I21" i="1"/>
  <c r="G21" i="1"/>
  <c r="E21" i="1"/>
  <c r="AD20" i="1"/>
  <c r="AA20" i="1"/>
  <c r="W20" i="1"/>
  <c r="U20" i="1"/>
  <c r="S20" i="1"/>
  <c r="Q20" i="1"/>
  <c r="O20" i="1"/>
  <c r="M20" i="1"/>
  <c r="K20" i="1"/>
  <c r="I20" i="1"/>
  <c r="G20" i="1"/>
  <c r="E20" i="1"/>
  <c r="AD19" i="1"/>
  <c r="AA19" i="1"/>
  <c r="W19" i="1"/>
  <c r="U19" i="1"/>
  <c r="S19" i="1"/>
  <c r="Q19" i="1"/>
  <c r="O19" i="1"/>
  <c r="M19" i="1"/>
  <c r="K19" i="1"/>
  <c r="I19" i="1"/>
  <c r="G19" i="1"/>
  <c r="E19" i="1"/>
  <c r="AD18" i="1"/>
  <c r="AA18" i="1"/>
  <c r="W18" i="1"/>
  <c r="U18" i="1"/>
  <c r="S18" i="1"/>
  <c r="Q18" i="1"/>
  <c r="O18" i="1"/>
  <c r="M18" i="1"/>
  <c r="K18" i="1"/>
  <c r="I18" i="1"/>
  <c r="G18" i="1"/>
  <c r="E18" i="1"/>
  <c r="AD17" i="1"/>
  <c r="AA17" i="1"/>
  <c r="W17" i="1"/>
  <c r="U17" i="1"/>
  <c r="S17" i="1"/>
  <c r="Q17" i="1"/>
  <c r="O17" i="1"/>
  <c r="M17" i="1"/>
  <c r="K17" i="1"/>
  <c r="I17" i="1"/>
  <c r="G17" i="1"/>
  <c r="E17" i="1"/>
  <c r="AD16" i="1"/>
  <c r="AA16" i="1"/>
  <c r="W16" i="1"/>
  <c r="U16" i="1"/>
  <c r="S16" i="1"/>
  <c r="Q16" i="1"/>
  <c r="O16" i="1"/>
  <c r="M16" i="1"/>
  <c r="K16" i="1"/>
  <c r="I16" i="1"/>
  <c r="G16" i="1"/>
  <c r="E16" i="1"/>
  <c r="AD15" i="1"/>
  <c r="AA15" i="1"/>
  <c r="W15" i="1"/>
  <c r="U15" i="1"/>
  <c r="S15" i="1"/>
  <c r="Q15" i="1"/>
  <c r="O15" i="1"/>
  <c r="M15" i="1"/>
  <c r="K15" i="1"/>
  <c r="I15" i="1"/>
  <c r="G15" i="1"/>
  <c r="E15" i="1"/>
  <c r="AD14" i="1"/>
  <c r="AA14" i="1"/>
  <c r="W14" i="1"/>
  <c r="U14" i="1"/>
  <c r="S14" i="1"/>
  <c r="Q14" i="1"/>
  <c r="O14" i="1"/>
  <c r="M14" i="1"/>
  <c r="K14" i="1"/>
  <c r="I14" i="1"/>
  <c r="G14" i="1"/>
  <c r="E14" i="1"/>
  <c r="AD13" i="1"/>
  <c r="AA13" i="1"/>
  <c r="W13" i="1"/>
  <c r="U13" i="1"/>
  <c r="S13" i="1"/>
  <c r="Q13" i="1"/>
  <c r="O13" i="1"/>
  <c r="M13" i="1"/>
  <c r="K13" i="1"/>
  <c r="I13" i="1"/>
  <c r="G13" i="1"/>
  <c r="E13" i="1"/>
  <c r="AD12" i="1"/>
  <c r="AA12" i="1"/>
  <c r="W12" i="1"/>
  <c r="U12" i="1"/>
  <c r="S12" i="1"/>
  <c r="Q12" i="1"/>
  <c r="O12" i="1"/>
  <c r="M12" i="1"/>
  <c r="K12" i="1"/>
  <c r="I12" i="1"/>
  <c r="G12" i="1"/>
  <c r="E12" i="1"/>
  <c r="AD11" i="1"/>
  <c r="AA11" i="1"/>
  <c r="W11" i="1"/>
  <c r="U11" i="1"/>
  <c r="S11" i="1"/>
  <c r="Q11" i="1"/>
  <c r="O11" i="1"/>
  <c r="M11" i="1"/>
  <c r="K11" i="1"/>
  <c r="I11" i="1"/>
  <c r="G11" i="1"/>
  <c r="E11" i="1"/>
  <c r="AD10" i="1"/>
  <c r="AA10" i="1"/>
  <c r="W10" i="1"/>
  <c r="U10" i="1"/>
  <c r="S10" i="1"/>
  <c r="Q10" i="1"/>
  <c r="O10" i="1"/>
  <c r="M10" i="1"/>
  <c r="K10" i="1"/>
  <c r="I10" i="1"/>
  <c r="G10" i="1"/>
  <c r="E10" i="1"/>
  <c r="AD9" i="1"/>
  <c r="AA9" i="1"/>
  <c r="W9" i="1"/>
  <c r="U9" i="1"/>
  <c r="S9" i="1"/>
  <c r="Q9" i="1"/>
  <c r="O9" i="1"/>
  <c r="M9" i="1"/>
  <c r="K9" i="1"/>
  <c r="I9" i="1"/>
  <c r="G9" i="1"/>
  <c r="E9" i="1"/>
  <c r="AD8" i="1"/>
  <c r="AA8" i="1"/>
  <c r="W8" i="1"/>
  <c r="U8" i="1"/>
  <c r="S8" i="1"/>
  <c r="Q8" i="1"/>
  <c r="O8" i="1"/>
  <c r="M8" i="1"/>
  <c r="K8" i="1"/>
  <c r="I8" i="1"/>
  <c r="G8" i="1"/>
  <c r="AD7" i="1"/>
  <c r="AA7" i="1"/>
  <c r="W7" i="1"/>
  <c r="U7" i="1"/>
  <c r="S7" i="1"/>
  <c r="Q7" i="1"/>
  <c r="O7" i="1"/>
  <c r="M7" i="1"/>
  <c r="K7" i="1"/>
  <c r="I7" i="1"/>
  <c r="G7" i="1"/>
  <c r="E7" i="1"/>
  <c r="AD116" i="1" l="1"/>
  <c r="AA116" i="1"/>
  <c r="X116" i="1"/>
  <c r="AD115" i="1"/>
  <c r="AA115" i="1"/>
  <c r="X115" i="1"/>
  <c r="AD114" i="1"/>
  <c r="AA114" i="1"/>
  <c r="X114" i="1"/>
  <c r="AD113" i="1"/>
  <c r="AA113" i="1"/>
  <c r="X113" i="1"/>
  <c r="AD112" i="1"/>
  <c r="AA112" i="1"/>
  <c r="X112" i="1"/>
  <c r="M112" i="1"/>
  <c r="AD111" i="1"/>
  <c r="AA111" i="1"/>
  <c r="X111" i="1"/>
  <c r="M111" i="1"/>
  <c r="AD110" i="1"/>
  <c r="AA110" i="1"/>
  <c r="X110" i="1"/>
  <c r="M110" i="1"/>
  <c r="AD109" i="1"/>
  <c r="AA109" i="1"/>
  <c r="X109" i="1"/>
  <c r="M109" i="1"/>
  <c r="AD108" i="1"/>
  <c r="AA108" i="1"/>
  <c r="X108" i="1"/>
  <c r="M108" i="1"/>
  <c r="AD107" i="1"/>
  <c r="AA107" i="1"/>
  <c r="X107" i="1"/>
  <c r="M107" i="1"/>
  <c r="AD106" i="1"/>
  <c r="AA106" i="1"/>
  <c r="X106" i="1"/>
  <c r="M106" i="1"/>
  <c r="AD105" i="1"/>
  <c r="AA105" i="1"/>
  <c r="X105" i="1"/>
  <c r="M105" i="1"/>
  <c r="AD104" i="1"/>
  <c r="AA104" i="1"/>
  <c r="X104" i="1"/>
  <c r="M104" i="1"/>
  <c r="AD103" i="1"/>
  <c r="AA103" i="1"/>
  <c r="X103" i="1"/>
  <c r="M103" i="1"/>
  <c r="AD102" i="1"/>
  <c r="AA102" i="1"/>
  <c r="X102" i="1"/>
  <c r="M102" i="1"/>
  <c r="AD101" i="1"/>
  <c r="AA101" i="1"/>
  <c r="X101" i="1"/>
  <c r="M101" i="1"/>
  <c r="AD100" i="1"/>
  <c r="AA100" i="1"/>
  <c r="M100" i="1"/>
  <c r="AD99" i="1"/>
  <c r="AA99" i="1"/>
  <c r="X99" i="1"/>
  <c r="M99" i="1"/>
  <c r="AD98" i="1"/>
  <c r="AA98" i="1"/>
  <c r="X98" i="1"/>
  <c r="M98" i="1"/>
  <c r="AD97" i="1"/>
  <c r="AA97" i="1"/>
  <c r="X97" i="1"/>
  <c r="M97" i="1"/>
  <c r="AD96" i="1"/>
  <c r="AA96" i="1"/>
  <c r="X96" i="1"/>
  <c r="AD95" i="1"/>
  <c r="AA95" i="1"/>
  <c r="X95" i="1"/>
  <c r="AD94" i="1"/>
  <c r="AA94" i="1"/>
  <c r="X94" i="1"/>
  <c r="AD93" i="1"/>
  <c r="AA93" i="1"/>
  <c r="X93" i="1"/>
  <c r="AD92" i="1"/>
  <c r="AA92" i="1"/>
  <c r="X92" i="1"/>
  <c r="AD91" i="1"/>
  <c r="AA91" i="1"/>
  <c r="X91" i="1"/>
  <c r="AD90" i="1"/>
  <c r="AA90" i="1"/>
  <c r="X90" i="1"/>
  <c r="AD89" i="1"/>
  <c r="AA89" i="1"/>
  <c r="X89" i="1"/>
  <c r="AD88" i="1"/>
  <c r="AA88" i="1"/>
  <c r="X88" i="1"/>
  <c r="AD87" i="1"/>
  <c r="AA87" i="1"/>
  <c r="X87" i="1"/>
  <c r="AD86" i="1"/>
  <c r="AA86" i="1"/>
  <c r="X86" i="1"/>
  <c r="AD85" i="1"/>
  <c r="AA85" i="1"/>
  <c r="X85" i="1"/>
  <c r="AD84" i="1"/>
  <c r="AA84" i="1"/>
  <c r="X84" i="1"/>
  <c r="AD83" i="1"/>
  <c r="AA83" i="1"/>
  <c r="X83" i="1"/>
  <c r="AD82" i="1"/>
  <c r="AA82" i="1"/>
  <c r="X82" i="1"/>
  <c r="AD81" i="1"/>
  <c r="AA81" i="1"/>
  <c r="X81" i="1"/>
  <c r="AD80" i="1"/>
  <c r="AA80" i="1"/>
  <c r="X80" i="1"/>
  <c r="AD79" i="1"/>
  <c r="AA79" i="1"/>
  <c r="X79" i="1"/>
  <c r="AD78" i="1"/>
  <c r="AA78" i="1"/>
  <c r="X78" i="1"/>
  <c r="AD77" i="1"/>
  <c r="AA77" i="1"/>
  <c r="X77" i="1"/>
  <c r="AD76" i="1"/>
  <c r="AA76" i="1"/>
  <c r="X76" i="1"/>
  <c r="AD75" i="1"/>
  <c r="AA75" i="1"/>
  <c r="X75" i="1"/>
  <c r="AD74" i="1"/>
  <c r="AA74" i="1"/>
  <c r="X74" i="1"/>
  <c r="AD73" i="1"/>
  <c r="AA73" i="1"/>
  <c r="X73" i="1"/>
  <c r="AD72" i="1"/>
  <c r="AA72" i="1"/>
  <c r="X72" i="1"/>
  <c r="AD71" i="1"/>
  <c r="AA71" i="1"/>
  <c r="X71" i="1"/>
  <c r="AD70" i="1"/>
  <c r="AA70" i="1"/>
  <c r="X70" i="1"/>
  <c r="AD69" i="1"/>
  <c r="AA69" i="1"/>
  <c r="X69" i="1"/>
  <c r="AD68" i="1"/>
  <c r="AA68" i="1"/>
  <c r="X68" i="1"/>
  <c r="AD67" i="1"/>
  <c r="AA67" i="1"/>
  <c r="X67" i="1"/>
  <c r="AD66" i="1"/>
  <c r="AA66" i="1"/>
  <c r="X66" i="1"/>
  <c r="AD65" i="1"/>
  <c r="AA65" i="1"/>
  <c r="X65" i="1"/>
  <c r="AD64" i="1"/>
  <c r="AA64" i="1"/>
  <c r="X64" i="1"/>
  <c r="AD62" i="1"/>
  <c r="AD61" i="1"/>
  <c r="AD58" i="1"/>
  <c r="AD57" i="1"/>
  <c r="AA57" i="1"/>
  <c r="X57" i="1"/>
  <c r="AD51" i="1"/>
  <c r="AD50" i="1"/>
  <c r="AA50" i="1"/>
  <c r="X49" i="1"/>
  <c r="X48" i="1"/>
  <c r="AD47" i="1"/>
  <c r="AA47" i="1"/>
  <c r="X47" i="1"/>
  <c r="X43" i="1"/>
  <c r="AD42" i="1"/>
  <c r="AA42" i="1"/>
  <c r="X41" i="1"/>
  <c r="X40" i="1"/>
  <c r="AD39" i="1"/>
  <c r="AA39" i="1"/>
  <c r="AA37" i="1"/>
  <c r="X37" i="1"/>
  <c r="AD36" i="1"/>
  <c r="AA36" i="1"/>
  <c r="X36" i="1"/>
  <c r="AD35" i="1"/>
  <c r="AA35" i="1"/>
  <c r="X35" i="1"/>
  <c r="AD34" i="1"/>
  <c r="AA34" i="1"/>
  <c r="X34" i="1"/>
  <c r="AD33" i="1"/>
  <c r="AA33" i="1"/>
  <c r="X33" i="1"/>
  <c r="X32" i="1"/>
  <c r="AD31" i="1"/>
  <c r="X31" i="1"/>
  <c r="AD30" i="1"/>
  <c r="X30" i="1"/>
  <c r="AD29" i="1"/>
  <c r="AA29" i="1"/>
  <c r="X29" i="1"/>
  <c r="AD28" i="1"/>
  <c r="AA28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AA149" i="1"/>
  <c r="X149" i="1"/>
  <c r="AA148" i="1"/>
  <c r="X148" i="1"/>
  <c r="AA147" i="1"/>
  <c r="X146" i="1"/>
  <c r="AD145" i="1"/>
  <c r="AA145" i="1"/>
  <c r="X145" i="1"/>
  <c r="M145" i="1"/>
  <c r="AD144" i="1"/>
  <c r="AA144" i="1"/>
  <c r="X144" i="1"/>
  <c r="X143" i="1"/>
  <c r="AA141" i="1"/>
  <c r="X141" i="1"/>
  <c r="AD140" i="1"/>
  <c r="AA140" i="1"/>
  <c r="X140" i="1"/>
  <c r="X139" i="1"/>
  <c r="AD138" i="1"/>
  <c r="AA138" i="1"/>
  <c r="X137" i="1"/>
  <c r="X136" i="1"/>
  <c r="X135" i="1"/>
  <c r="AD134" i="1"/>
  <c r="AA134" i="1"/>
  <c r="X134" i="1"/>
  <c r="X133" i="1"/>
  <c r="AA132" i="1"/>
  <c r="X131" i="1"/>
  <c r="X130" i="1"/>
  <c r="AA129" i="1"/>
  <c r="X129" i="1"/>
  <c r="AA128" i="1"/>
  <c r="X127" i="1"/>
  <c r="X126" i="1"/>
  <c r="AD125" i="1"/>
  <c r="AA125" i="1"/>
  <c r="AD124" i="1"/>
  <c r="AA124" i="1"/>
  <c r="AA121" i="1"/>
  <c r="X121" i="1"/>
  <c r="AA120" i="1"/>
  <c r="X119" i="1"/>
  <c r="AA118" i="1"/>
  <c r="AD63" i="1"/>
  <c r="AA63" i="1"/>
  <c r="X63" i="1"/>
  <c r="X61" i="1"/>
  <c r="AA60" i="1"/>
  <c r="X60" i="1"/>
  <c r="AD59" i="1"/>
  <c r="AA59" i="1"/>
  <c r="X59" i="1"/>
  <c r="AA58" i="1"/>
  <c r="X58" i="1"/>
  <c r="AA54" i="1"/>
  <c r="X54" i="1"/>
  <c r="X53" i="1"/>
  <c r="X52" i="1"/>
  <c r="X39" i="1"/>
  <c r="AD38" i="1"/>
  <c r="AA38" i="1"/>
  <c r="AD37" i="1"/>
  <c r="AD192" i="1"/>
  <c r="AA192" i="1"/>
  <c r="X192" i="1"/>
  <c r="AS191" i="1"/>
  <c r="AD191" i="1"/>
  <c r="AA191" i="1"/>
  <c r="X191" i="1"/>
  <c r="AS190" i="1"/>
  <c r="AD190" i="1"/>
  <c r="AA190" i="1"/>
  <c r="X190" i="1"/>
  <c r="AS189" i="1"/>
  <c r="AD189" i="1"/>
  <c r="AA189" i="1"/>
  <c r="X189" i="1"/>
  <c r="AS188" i="1"/>
  <c r="AD188" i="1"/>
  <c r="AA188" i="1"/>
  <c r="X188" i="1"/>
  <c r="AD187" i="1"/>
  <c r="AA187" i="1"/>
  <c r="X187" i="1"/>
  <c r="AS186" i="1"/>
  <c r="AD186" i="1"/>
  <c r="AA186" i="1"/>
  <c r="X186" i="1"/>
  <c r="AD185" i="1"/>
  <c r="AA185" i="1"/>
  <c r="X185" i="1"/>
  <c r="AS184" i="1"/>
  <c r="AD184" i="1"/>
  <c r="AA184" i="1"/>
  <c r="X184" i="1"/>
  <c r="AD183" i="1"/>
  <c r="AA183" i="1"/>
  <c r="X183" i="1"/>
  <c r="AD182" i="1"/>
  <c r="AA182" i="1"/>
  <c r="X182" i="1"/>
  <c r="AD181" i="1"/>
  <c r="AA181" i="1"/>
  <c r="X181" i="1"/>
  <c r="AD180" i="1"/>
  <c r="AA180" i="1"/>
  <c r="X180" i="1"/>
  <c r="AD179" i="1"/>
  <c r="AA179" i="1"/>
  <c r="X179" i="1"/>
  <c r="AD178" i="1"/>
  <c r="AA178" i="1"/>
  <c r="X178" i="1"/>
  <c r="AD177" i="1"/>
  <c r="AA177" i="1"/>
  <c r="X177" i="1"/>
  <c r="AD176" i="1"/>
  <c r="AA176" i="1"/>
  <c r="X176" i="1"/>
  <c r="AD175" i="1"/>
  <c r="AA175" i="1"/>
  <c r="X175" i="1"/>
  <c r="AD174" i="1"/>
  <c r="AA174" i="1"/>
  <c r="X174" i="1"/>
  <c r="AD173" i="1"/>
  <c r="AA173" i="1"/>
  <c r="X173" i="1"/>
  <c r="AD172" i="1"/>
  <c r="AA172" i="1"/>
  <c r="X172" i="1"/>
  <c r="AD171" i="1"/>
  <c r="AA171" i="1"/>
  <c r="X171" i="1"/>
  <c r="AD170" i="1"/>
  <c r="AA170" i="1"/>
  <c r="X170" i="1"/>
  <c r="AD169" i="1"/>
  <c r="AA169" i="1"/>
  <c r="X169" i="1"/>
  <c r="AD168" i="1"/>
  <c r="AA168" i="1"/>
  <c r="X168" i="1"/>
  <c r="AD167" i="1"/>
  <c r="AA167" i="1"/>
  <c r="X167" i="1"/>
  <c r="AD166" i="1"/>
  <c r="AA166" i="1"/>
  <c r="X166" i="1"/>
  <c r="AD165" i="1"/>
  <c r="AA165" i="1"/>
  <c r="X165" i="1"/>
  <c r="AD164" i="1"/>
  <c r="AA164" i="1"/>
  <c r="X164" i="1"/>
  <c r="AD163" i="1"/>
  <c r="AA163" i="1"/>
  <c r="X163" i="1"/>
  <c r="AD162" i="1"/>
  <c r="AA162" i="1"/>
  <c r="X162" i="1"/>
  <c r="AD161" i="1"/>
  <c r="AA161" i="1"/>
  <c r="X161" i="1"/>
  <c r="AD160" i="1"/>
  <c r="AA160" i="1"/>
  <c r="X160" i="1"/>
  <c r="AS159" i="1"/>
  <c r="AD159" i="1"/>
  <c r="AA159" i="1"/>
  <c r="X159" i="1"/>
  <c r="AS158" i="1"/>
  <c r="AD158" i="1"/>
  <c r="AA158" i="1"/>
  <c r="X158" i="1"/>
  <c r="AS157" i="1"/>
  <c r="AD157" i="1"/>
  <c r="AA157" i="1"/>
  <c r="X157" i="1"/>
  <c r="AS156" i="1"/>
  <c r="AD156" i="1"/>
  <c r="AA156" i="1"/>
  <c r="X156" i="1"/>
  <c r="AS155" i="1"/>
  <c r="AD155" i="1"/>
  <c r="AA155" i="1"/>
  <c r="X155" i="1"/>
  <c r="AD154" i="1"/>
  <c r="AA154" i="1"/>
  <c r="X154" i="1"/>
  <c r="AD153" i="1"/>
  <c r="AA153" i="1"/>
  <c r="X153" i="1"/>
  <c r="AD152" i="1"/>
  <c r="AA152" i="1"/>
  <c r="X152" i="1"/>
  <c r="AD151" i="1"/>
  <c r="AA151" i="1"/>
  <c r="X151" i="1"/>
  <c r="AD150" i="1"/>
  <c r="AA150" i="1"/>
  <c r="X150" i="1"/>
  <c r="AD149" i="1"/>
  <c r="AD148" i="1"/>
  <c r="AD147" i="1"/>
  <c r="X147" i="1"/>
  <c r="AD146" i="1"/>
  <c r="AA146" i="1"/>
  <c r="AD143" i="1"/>
  <c r="AA143" i="1"/>
  <c r="AD142" i="1"/>
  <c r="AA142" i="1"/>
  <c r="X142" i="1"/>
  <c r="AD141" i="1"/>
  <c r="AD139" i="1"/>
  <c r="AA139" i="1"/>
  <c r="X138" i="1"/>
  <c r="AD137" i="1"/>
  <c r="AA137" i="1"/>
  <c r="AD136" i="1"/>
  <c r="AA136" i="1"/>
  <c r="AD135" i="1"/>
  <c r="AA135" i="1"/>
  <c r="AD133" i="1"/>
  <c r="AA133" i="1"/>
  <c r="AD132" i="1"/>
  <c r="X132" i="1"/>
  <c r="AD131" i="1"/>
  <c r="AA131" i="1"/>
  <c r="AD130" i="1"/>
  <c r="AA130" i="1"/>
  <c r="AD129" i="1"/>
  <c r="AD128" i="1"/>
  <c r="X128" i="1"/>
  <c r="AD127" i="1"/>
  <c r="AA127" i="1"/>
  <c r="AD126" i="1"/>
  <c r="AA126" i="1"/>
  <c r="X125" i="1"/>
  <c r="X124" i="1"/>
  <c r="AD123" i="1"/>
  <c r="AA123" i="1"/>
  <c r="X123" i="1"/>
  <c r="AD122" i="1"/>
  <c r="AA122" i="1"/>
  <c r="X122" i="1"/>
  <c r="AD120" i="1"/>
  <c r="X120" i="1"/>
  <c r="AD119" i="1"/>
  <c r="AA119" i="1"/>
  <c r="AD118" i="1"/>
  <c r="X118" i="1"/>
  <c r="AD117" i="1"/>
  <c r="AA117" i="1"/>
  <c r="AA62" i="1"/>
  <c r="X62" i="1"/>
  <c r="AA61" i="1"/>
  <c r="AD60" i="1"/>
  <c r="AD56" i="1"/>
  <c r="AA56" i="1"/>
  <c r="X56" i="1"/>
  <c r="AD55" i="1"/>
  <c r="AA55" i="1"/>
  <c r="X55" i="1"/>
  <c r="AD53" i="1"/>
  <c r="AA53" i="1"/>
  <c r="AD52" i="1"/>
  <c r="AA52" i="1"/>
  <c r="AA51" i="1"/>
  <c r="X51" i="1"/>
  <c r="X50" i="1"/>
  <c r="AD49" i="1"/>
  <c r="AA49" i="1"/>
  <c r="AD48" i="1"/>
  <c r="AA48" i="1"/>
  <c r="AA46" i="1"/>
  <c r="AD45" i="1"/>
  <c r="AA45" i="1"/>
  <c r="X45" i="1"/>
  <c r="X44" i="1"/>
  <c r="AD43" i="1"/>
  <c r="AA43" i="1"/>
  <c r="X42" i="1"/>
  <c r="AD41" i="1"/>
  <c r="AA41" i="1"/>
  <c r="AD40" i="1"/>
  <c r="AA40" i="1"/>
  <c r="X38" i="1"/>
  <c r="AD54" i="1"/>
  <c r="AD46" i="1"/>
  <c r="X46" i="1"/>
  <c r="AD44" i="1"/>
  <c r="AA44" i="1"/>
</calcChain>
</file>

<file path=xl/sharedStrings.xml><?xml version="1.0" encoding="utf-8"?>
<sst xmlns="http://schemas.openxmlformats.org/spreadsheetml/2006/main" count="151" uniqueCount="99">
  <si>
    <t>Candy weight/Kg</t>
  </si>
  <si>
    <t>Liva Eco Upcharges</t>
  </si>
  <si>
    <t>Rs.17 Per Kg</t>
  </si>
  <si>
    <t xml:space="preserve">Raw Material Price Trend </t>
  </si>
  <si>
    <t>FSC Upcharges</t>
  </si>
  <si>
    <t>Rs.2 Per Kg</t>
  </si>
  <si>
    <t>Date</t>
  </si>
  <si>
    <t>Dollar price</t>
  </si>
  <si>
    <t>Cotlook  A Index (Cents/lbs)</t>
  </si>
  <si>
    <t xml:space="preserve">ICE Prices (May'18) - (Cents/lbs) </t>
  </si>
  <si>
    <t>Shankar 6 - 29mm (Candy)</t>
  </si>
  <si>
    <t>Shankar 6 - 29mm (Per Kg)</t>
  </si>
  <si>
    <t>MECH - 30 MM  (Candy)</t>
  </si>
  <si>
    <t>MECH - 30 MM  (Per Kg)</t>
  </si>
  <si>
    <t>MCU 5-31mm  (Candy)</t>
  </si>
  <si>
    <t>MCU 5-31mm  (Per Kg)</t>
  </si>
  <si>
    <t>DCH 32-34mm  (Candy)</t>
  </si>
  <si>
    <t>DCH 32-34mm  (Per Kg)</t>
  </si>
  <si>
    <t>Organic Premium  (Candy)</t>
  </si>
  <si>
    <t>Organic Premium  (Per Kg)</t>
  </si>
  <si>
    <t>Fair Trade Cotton Premium (Candy)</t>
  </si>
  <si>
    <t>Fair Trade Cotton Premium (Per Kg)</t>
  </si>
  <si>
    <t>BCI Cotton Premium  (Candy)</t>
  </si>
  <si>
    <t>BCI Cotton Premium  (Per Kg)</t>
  </si>
  <si>
    <t>Australian Cotton- 30mm (Cents/lbs)</t>
  </si>
  <si>
    <t>Australian Cotton - Cents/lbs- 29mm  (Candy)</t>
  </si>
  <si>
    <t>Australian Cotton - 29mm  (Per Kg)</t>
  </si>
  <si>
    <t>EMOT (28-29 mm) - Cents/lbs</t>
  </si>
  <si>
    <t>EMOT (28-29 mm)  (Candy)</t>
  </si>
  <si>
    <t>EMOT (28-29 mm)  (Per Kg)</t>
  </si>
  <si>
    <t>African Cotton (29 mm) - Cent/lbs</t>
  </si>
  <si>
    <t>African Cotton (29 mm)  (Candy)</t>
  </si>
  <si>
    <t>African Cotton (29 mm)  (Per Kg)</t>
  </si>
  <si>
    <t xml:space="preserve">Linen Price Euro/kg (Long Fibre) Europe </t>
  </si>
  <si>
    <t>Viscose (1.2D)</t>
  </si>
  <si>
    <t>Droppings Rs/Kg</t>
  </si>
  <si>
    <t>Flat strip Rs/Kg</t>
  </si>
  <si>
    <t>Comber noil Rs/Kg</t>
  </si>
  <si>
    <t>Roving Ends Rs/Kg</t>
  </si>
  <si>
    <t>Hard Waste Rs/Kg</t>
  </si>
  <si>
    <t>Fan / Sweeping Waste Rs/Kg</t>
  </si>
  <si>
    <t>Fillter Plant Dust Rs/Kg</t>
  </si>
  <si>
    <t>PTA/kg (86%)</t>
  </si>
  <si>
    <t>MEG/Kg (34%)</t>
  </si>
  <si>
    <t>Melt/Kg</t>
  </si>
  <si>
    <t>1.4 Denier SD</t>
  </si>
  <si>
    <t>1.2 Denier SD</t>
  </si>
  <si>
    <t>1.0 Denier SD</t>
  </si>
  <si>
    <t>BRENT CRUDE / BARREL (1B=119.24 Lt) In $</t>
  </si>
  <si>
    <t>NA</t>
  </si>
  <si>
    <t>58,5</t>
  </si>
  <si>
    <t>5.2 Euro</t>
  </si>
  <si>
    <t>4.4 Euro</t>
  </si>
  <si>
    <t>6.25 Euro</t>
  </si>
  <si>
    <t>7-7.5 Euro</t>
  </si>
  <si>
    <t>6.8-7.3 Euro</t>
  </si>
  <si>
    <t>6.6-7.2 Euro</t>
  </si>
  <si>
    <t>7.0-7.5 Euro</t>
  </si>
  <si>
    <t>169/188 Liva</t>
  </si>
  <si>
    <t>176/195 Liva</t>
  </si>
  <si>
    <t>8.0-8.5 Euro</t>
  </si>
  <si>
    <t>182/201 Liva</t>
  </si>
  <si>
    <t>189/208 Liva</t>
  </si>
  <si>
    <t>194/213 Liva</t>
  </si>
  <si>
    <t>201/220 Liva</t>
  </si>
  <si>
    <t>Cotton Price Difference (May.26 Vs June.26)</t>
  </si>
  <si>
    <t>Month</t>
  </si>
  <si>
    <t>Cotton Price</t>
  </si>
  <si>
    <t>Organic Premium</t>
  </si>
  <si>
    <t xml:space="preserve">Total </t>
  </si>
  <si>
    <t>Actual Cotton Cost diff Per/Kg</t>
  </si>
  <si>
    <t>.May.26</t>
  </si>
  <si>
    <t>.June.26</t>
  </si>
  <si>
    <t>Difference</t>
  </si>
  <si>
    <t xml:space="preserve">                                          $ price X 355.62 (Candey wt.) X cents/lbs</t>
  </si>
  <si>
    <t xml:space="preserve">       Candy rate    = ------------------------------------------</t>
  </si>
  <si>
    <t xml:space="preserve">                                                             0.4536 X 100</t>
  </si>
  <si>
    <t xml:space="preserve">       Candy rate    =</t>
  </si>
  <si>
    <t>$ price  x cents/lbs  x  7.84</t>
  </si>
  <si>
    <t xml:space="preserve">Supima candy rate = </t>
  </si>
  <si>
    <t>Supima rate $/LB x $ price x 2.204 x 355.62</t>
  </si>
  <si>
    <t>Supima rate $/LB x $ price x784</t>
  </si>
  <si>
    <t>Recycle PSF suppliers</t>
  </si>
  <si>
    <t>Virgin PSF suppliers</t>
  </si>
  <si>
    <t>Reliance</t>
  </si>
  <si>
    <t xml:space="preserve">Indorama </t>
  </si>
  <si>
    <t>JB Ecotex</t>
  </si>
  <si>
    <t>Alok (Reliance)</t>
  </si>
  <si>
    <t>Ganesha Fibres</t>
  </si>
  <si>
    <t>Shubhlakshmi (Reliance)</t>
  </si>
  <si>
    <t>Alliance Fibre</t>
  </si>
  <si>
    <t>Sulochana</t>
  </si>
  <si>
    <t>Biospinning</t>
  </si>
  <si>
    <t>Himachal Fibres</t>
  </si>
  <si>
    <t>Candy Weight (KG)_</t>
  </si>
  <si>
    <t>Rs/candy
(Cotlook)</t>
  </si>
  <si>
    <t>Rs/candy
(ICE)</t>
  </si>
  <si>
    <t>The COTLOOK A INDEX is intended to be representative of the level of offering prices on the international raw cotton market. It is an average of the cheapest five quotations from a selection of the principal upland cottons traded internationally.</t>
  </si>
  <si>
    <t>ICE - Intercontinental Exchange® (ICE®) became the center of global trading in “soft” commodities with its acquisition of the New York Board of Trade (NYBOT) in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</si>
</sst>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/mmm/yy;@"/>
    <numFmt numFmtId="166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4"/>
      <color rgb="FFC00000"/>
      <name val="Times New Roman"/>
      <family val="1"/>
    </font>
    <font>
      <b/>
      <sz val="11"/>
      <name val="Times New Roman"/>
      <family val="1"/>
    </font>
    <font>
      <b/>
      <sz val="11"/>
      <color rgb="FFC00000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left" indent="1"/>
    </xf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1" fillId="7" borderId="1" xfId="0" applyFont="1" applyFill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1" fontId="9" fillId="8" borderId="1" xfId="0" applyNumberFormat="1" applyFont="1" applyFill="1" applyBorder="1" applyAlignment="1">
      <alignment horizontal="left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0" xfId="0" applyFont="1"/>
    <xf numFmtId="0" fontId="11" fillId="0" borderId="7" xfId="0" applyFont="1" applyBorder="1"/>
    <xf numFmtId="0" fontId="11" fillId="0" borderId="0" xfId="0" applyFont="1"/>
    <xf numFmtId="0" fontId="10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7" xfId="0" applyFont="1" applyBorder="1"/>
    <xf numFmtId="0" fontId="11" fillId="5" borderId="0" xfId="0" applyFont="1" applyFill="1"/>
    <xf numFmtId="0" fontId="11" fillId="5" borderId="8" xfId="0" applyFont="1" applyFill="1" applyBorder="1"/>
    <xf numFmtId="0" fontId="1" fillId="0" borderId="8" xfId="0" applyFont="1" applyBorder="1"/>
    <xf numFmtId="0" fontId="10" fillId="0" borderId="9" xfId="0" applyFont="1" applyBorder="1"/>
    <xf numFmtId="0" fontId="10" fillId="3" borderId="10" xfId="0" applyFont="1" applyFill="1" applyBorder="1"/>
    <xf numFmtId="0" fontId="10" fillId="3" borderId="11" xfId="0" applyFont="1" applyFill="1" applyBorder="1"/>
    <xf numFmtId="0" fontId="11" fillId="0" borderId="12" xfId="0" applyFont="1" applyBorder="1"/>
    <xf numFmtId="0" fontId="11" fillId="0" borderId="13" xfId="0" applyFont="1" applyBorder="1"/>
    <xf numFmtId="0" fontId="11" fillId="5" borderId="13" xfId="0" applyFont="1" applyFill="1" applyBorder="1"/>
    <xf numFmtId="0" fontId="11" fillId="5" borderId="14" xfId="0" applyFont="1" applyFill="1" applyBorder="1"/>
    <xf numFmtId="0" fontId="2" fillId="0" borderId="1" xfId="0" applyFont="1" applyBorder="1"/>
    <xf numFmtId="164" fontId="2" fillId="4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5EB-05D0-4BC3-8873-0F9A6C0F4EA2}">
  <sheetPr>
    <tabColor rgb="FFFFC000"/>
  </sheetPr>
  <dimension ref="B1:AT1048380"/>
  <sheetViews>
    <sheetView showGridLines="0" tabSelected="1" zoomScale="85" zoomScaleNormal="85" workbookViewId="0">
      <pane xSplit="2" ySplit="6" topLeftCell="C30" activePane="bottomRight" state="frozen"/>
      <selection pane="topRight"/>
      <selection pane="bottomLeft"/>
      <selection pane="bottomRight" activeCell="H197" sqref="H197"/>
    </sheetView>
  </sheetViews>
  <sheetFormatPr defaultColWidth="9.1796875" defaultRowHeight="14"/>
  <cols>
    <col min="1" max="1" width="3.81640625" style="2" customWidth="1"/>
    <col min="2" max="2" width="35.453125" style="1" bestFit="1" customWidth="1"/>
    <col min="3" max="3" width="15.54296875" style="2" customWidth="1"/>
    <col min="4" max="4" width="14.453125" style="2" customWidth="1"/>
    <col min="5" max="5" width="13.7265625" style="3" customWidth="1"/>
    <col min="6" max="6" width="16.81640625" style="3" customWidth="1"/>
    <col min="7" max="7" width="11.453125" style="3" customWidth="1"/>
    <col min="8" max="9" width="14" style="2" customWidth="1"/>
    <col min="10" max="12" width="11.54296875" style="2" customWidth="1"/>
    <col min="13" max="13" width="11.54296875" style="6" customWidth="1"/>
    <col min="14" max="14" width="11.54296875" style="2" customWidth="1"/>
    <col min="15" max="15" width="11.54296875" style="6" customWidth="1"/>
    <col min="16" max="17" width="13.81640625" style="3" customWidth="1"/>
    <col min="18" max="18" width="17.1796875" style="3" customWidth="1"/>
    <col min="19" max="19" width="14" style="3" customWidth="1"/>
    <col min="20" max="21" width="13.81640625" style="3" customWidth="1"/>
    <col min="22" max="22" width="16.7265625" style="3" customWidth="1"/>
    <col min="23" max="23" width="15.453125" style="3" customWidth="1"/>
    <col min="24" max="27" width="13.81640625" style="3" customWidth="1"/>
    <col min="28" max="28" width="17.54296875" style="2" customWidth="1"/>
    <col min="29" max="30" width="14.26953125" style="3" customWidth="1"/>
    <col min="31" max="31" width="19.08984375" style="3" customWidth="1"/>
    <col min="32" max="32" width="12.6328125" style="3" customWidth="1"/>
    <col min="33" max="33" width="11.7265625" style="3" customWidth="1"/>
    <col min="34" max="34" width="13.81640625" style="3" customWidth="1"/>
    <col min="35" max="35" width="13.54296875" style="3" customWidth="1"/>
    <col min="36" max="37" width="11.26953125" style="4" customWidth="1"/>
    <col min="38" max="38" width="14.54296875" style="4" customWidth="1"/>
    <col min="39" max="39" width="11.26953125" style="4" customWidth="1"/>
    <col min="40" max="45" width="11.54296875" style="6" customWidth="1"/>
    <col min="46" max="46" width="16.7265625" style="6" customWidth="1"/>
    <col min="47" max="73" width="11.26953125" style="2" customWidth="1"/>
    <col min="74" max="16384" width="9.1796875" style="2"/>
  </cols>
  <sheetData>
    <row r="1" spans="2:46">
      <c r="M1" s="2"/>
      <c r="O1" s="2"/>
      <c r="AN1" s="2"/>
      <c r="AO1" s="2"/>
      <c r="AP1" s="2"/>
      <c r="AQ1" s="2"/>
      <c r="AR1" s="2"/>
      <c r="AS1" s="2"/>
      <c r="AT1" s="2"/>
    </row>
    <row r="2" spans="2:46" ht="18">
      <c r="B2" s="5" t="s">
        <v>0</v>
      </c>
      <c r="M2" s="2"/>
      <c r="O2" s="2"/>
      <c r="AN2" s="2"/>
      <c r="AO2" s="2"/>
      <c r="AP2" s="2"/>
      <c r="AQ2" s="2"/>
      <c r="AR2" s="2"/>
      <c r="AS2" s="2"/>
      <c r="AT2" s="2"/>
    </row>
    <row r="3" spans="2:46">
      <c r="B3" s="3"/>
      <c r="M3" s="2"/>
      <c r="AF3" s="7" t="s">
        <v>1</v>
      </c>
      <c r="AG3" s="8" t="s">
        <v>2</v>
      </c>
    </row>
    <row r="4" spans="2:46" ht="20">
      <c r="B4" s="9" t="s">
        <v>3</v>
      </c>
      <c r="F4" s="63" t="s">
        <v>94</v>
      </c>
      <c r="G4" s="64"/>
      <c r="H4" s="10">
        <v>355.62</v>
      </c>
      <c r="M4" s="2"/>
      <c r="AF4" s="7" t="s">
        <v>4</v>
      </c>
      <c r="AG4" s="8" t="s">
        <v>5</v>
      </c>
    </row>
    <row r="5" spans="2:46">
      <c r="B5" s="3"/>
      <c r="M5" s="2"/>
    </row>
    <row r="6" spans="2:46" s="19" customFormat="1" ht="48.75" customHeight="1">
      <c r="B6" s="11" t="s">
        <v>6</v>
      </c>
      <c r="C6" s="12" t="s">
        <v>7</v>
      </c>
      <c r="D6" s="12" t="s">
        <v>8</v>
      </c>
      <c r="E6" s="13" t="s">
        <v>95</v>
      </c>
      <c r="F6" s="14" t="s">
        <v>9</v>
      </c>
      <c r="G6" s="13" t="s">
        <v>96</v>
      </c>
      <c r="H6" s="12" t="s">
        <v>10</v>
      </c>
      <c r="I6" s="15" t="s">
        <v>11</v>
      </c>
      <c r="J6" s="12" t="s">
        <v>12</v>
      </c>
      <c r="K6" s="15" t="s">
        <v>13</v>
      </c>
      <c r="L6" s="12" t="s">
        <v>14</v>
      </c>
      <c r="M6" s="15" t="s">
        <v>15</v>
      </c>
      <c r="N6" s="12" t="s">
        <v>16</v>
      </c>
      <c r="O6" s="15" t="s">
        <v>17</v>
      </c>
      <c r="P6" s="14" t="s">
        <v>18</v>
      </c>
      <c r="Q6" s="15" t="s">
        <v>19</v>
      </c>
      <c r="R6" s="14" t="s">
        <v>20</v>
      </c>
      <c r="S6" s="15" t="s">
        <v>21</v>
      </c>
      <c r="T6" s="14" t="s">
        <v>22</v>
      </c>
      <c r="U6" s="15" t="s">
        <v>23</v>
      </c>
      <c r="V6" s="14" t="s">
        <v>24</v>
      </c>
      <c r="W6" s="13" t="s">
        <v>25</v>
      </c>
      <c r="X6" s="15" t="s">
        <v>26</v>
      </c>
      <c r="Y6" s="14" t="s">
        <v>27</v>
      </c>
      <c r="Z6" s="13" t="s">
        <v>28</v>
      </c>
      <c r="AA6" s="15" t="s">
        <v>29</v>
      </c>
      <c r="AB6" s="12" t="s">
        <v>30</v>
      </c>
      <c r="AC6" s="13" t="s">
        <v>31</v>
      </c>
      <c r="AD6" s="15" t="s">
        <v>32</v>
      </c>
      <c r="AE6" s="16" t="s">
        <v>33</v>
      </c>
      <c r="AF6" s="16" t="s">
        <v>34</v>
      </c>
      <c r="AG6" s="14" t="s">
        <v>35</v>
      </c>
      <c r="AH6" s="14" t="s">
        <v>36</v>
      </c>
      <c r="AI6" s="14" t="s">
        <v>37</v>
      </c>
      <c r="AJ6" s="14" t="s">
        <v>38</v>
      </c>
      <c r="AK6" s="14" t="s">
        <v>39</v>
      </c>
      <c r="AL6" s="14" t="s">
        <v>40</v>
      </c>
      <c r="AM6" s="14" t="s">
        <v>41</v>
      </c>
      <c r="AN6" s="17" t="s">
        <v>42</v>
      </c>
      <c r="AO6" s="17" t="s">
        <v>43</v>
      </c>
      <c r="AP6" s="14" t="s">
        <v>44</v>
      </c>
      <c r="AQ6" s="18" t="s">
        <v>45</v>
      </c>
      <c r="AR6" s="18" t="s">
        <v>46</v>
      </c>
      <c r="AS6" s="18" t="s">
        <v>47</v>
      </c>
      <c r="AT6" s="14" t="s">
        <v>48</v>
      </c>
    </row>
    <row r="7" spans="2:46">
      <c r="B7" s="11">
        <v>44564</v>
      </c>
      <c r="C7" s="20">
        <v>74.260000000000005</v>
      </c>
      <c r="D7" s="21">
        <v>127.2</v>
      </c>
      <c r="E7" s="22">
        <f t="shared" ref="E7:E70" si="0">C7*$H$4*D7/0.4536/100</f>
        <v>74055.136698412694</v>
      </c>
      <c r="F7" s="23">
        <v>113.65</v>
      </c>
      <c r="G7" s="22">
        <f t="shared" ref="G7:G33" si="1">C7*$H$4*F7/0.4536/100</f>
        <v>66166.40161772487</v>
      </c>
      <c r="H7" s="20">
        <v>72000</v>
      </c>
      <c r="I7" s="24">
        <f>H7/355.62</f>
        <v>202.46330352623588</v>
      </c>
      <c r="J7" s="20"/>
      <c r="K7" s="24">
        <f>J7/355.62</f>
        <v>0</v>
      </c>
      <c r="L7" s="20">
        <v>75000</v>
      </c>
      <c r="M7" s="24">
        <f>L7/355.62</f>
        <v>210.89927450649569</v>
      </c>
      <c r="N7" s="20">
        <v>127000</v>
      </c>
      <c r="O7" s="24">
        <f>N7/355.62</f>
        <v>357.12277149766606</v>
      </c>
      <c r="P7" s="22">
        <v>30000</v>
      </c>
      <c r="Q7" s="24">
        <f>P7/355.62</f>
        <v>84.359709802598275</v>
      </c>
      <c r="R7" s="22">
        <v>6000</v>
      </c>
      <c r="S7" s="24">
        <f>R7/355.62</f>
        <v>16.871941960519656</v>
      </c>
      <c r="T7" s="22">
        <v>1500</v>
      </c>
      <c r="U7" s="24">
        <f>T7/355.62</f>
        <v>4.2179854901299141</v>
      </c>
      <c r="V7" s="23">
        <v>134.05000000000001</v>
      </c>
      <c r="W7" s="22">
        <f t="shared" ref="W7:W70" si="2">C7*$H$4*V7/0.4536/100</f>
        <v>78043.168824074077</v>
      </c>
      <c r="X7" s="24">
        <f>W7/355.62</f>
        <v>219.45663580246915</v>
      </c>
      <c r="Y7" s="23"/>
      <c r="Z7" s="22"/>
      <c r="AA7" s="24">
        <f>Z7/355.62</f>
        <v>0</v>
      </c>
      <c r="AB7" s="20"/>
      <c r="AC7" s="22"/>
      <c r="AD7" s="24">
        <f>AC7/355.62</f>
        <v>0</v>
      </c>
      <c r="AE7" s="22"/>
      <c r="AF7" s="22"/>
      <c r="AG7" s="22">
        <v>30</v>
      </c>
      <c r="AH7" s="22">
        <v>73</v>
      </c>
      <c r="AI7" s="22">
        <v>91</v>
      </c>
      <c r="AJ7" s="22">
        <v>141</v>
      </c>
      <c r="AK7" s="22">
        <v>106</v>
      </c>
      <c r="AL7" s="22">
        <v>17</v>
      </c>
      <c r="AM7" s="22">
        <v>4.5</v>
      </c>
      <c r="AN7" s="25">
        <v>74.8</v>
      </c>
      <c r="AO7" s="25">
        <v>57.9</v>
      </c>
      <c r="AP7" s="26">
        <v>84.3</v>
      </c>
      <c r="AQ7" s="25">
        <v>99.7</v>
      </c>
      <c r="AR7" s="25">
        <v>99.5</v>
      </c>
      <c r="AS7" s="25">
        <v>104.25</v>
      </c>
      <c r="AT7" s="25"/>
    </row>
    <row r="8" spans="2:46">
      <c r="B8" s="11">
        <v>44573</v>
      </c>
      <c r="C8" s="20">
        <v>73.989999999999995</v>
      </c>
      <c r="D8" s="21">
        <v>128.15</v>
      </c>
      <c r="E8" s="22">
        <f>C8*$H$4*D8/0.4536/100</f>
        <v>74336.955356481485</v>
      </c>
      <c r="F8" s="23">
        <v>116.4</v>
      </c>
      <c r="G8" s="22">
        <f t="shared" si="1"/>
        <v>67521.042555555556</v>
      </c>
      <c r="H8" s="20">
        <v>74500</v>
      </c>
      <c r="I8" s="24">
        <f t="shared" ref="I8:I71" si="3">H8/355.62</f>
        <v>209.49327934311907</v>
      </c>
      <c r="J8" s="20"/>
      <c r="K8" s="24">
        <f t="shared" ref="K8:K71" si="4">J8/355.62</f>
        <v>0</v>
      </c>
      <c r="L8" s="20">
        <v>77500</v>
      </c>
      <c r="M8" s="24">
        <f t="shared" ref="M8:M71" si="5">L8/355.62</f>
        <v>217.92925032337888</v>
      </c>
      <c r="N8" s="20">
        <v>127000</v>
      </c>
      <c r="O8" s="24">
        <f t="shared" ref="O8:O71" si="6">N8/355.62</f>
        <v>357.12277149766606</v>
      </c>
      <c r="P8" s="22">
        <v>30000</v>
      </c>
      <c r="Q8" s="24">
        <f t="shared" ref="Q8:Q71" si="7">P8/355.62</f>
        <v>84.359709802598275</v>
      </c>
      <c r="R8" s="22">
        <v>6000</v>
      </c>
      <c r="S8" s="24">
        <f t="shared" ref="S8:S71" si="8">R8/355.62</f>
        <v>16.871941960519656</v>
      </c>
      <c r="T8" s="22">
        <v>1500</v>
      </c>
      <c r="U8" s="24">
        <f t="shared" ref="U8:U71" si="9">T8/355.62</f>
        <v>4.2179854901299141</v>
      </c>
      <c r="V8" s="23">
        <v>138</v>
      </c>
      <c r="W8" s="22">
        <f t="shared" si="2"/>
        <v>80050.720555555556</v>
      </c>
      <c r="X8" s="24">
        <f t="shared" ref="X8:X71" si="10">W8/355.62</f>
        <v>225.10185185185185</v>
      </c>
      <c r="Y8" s="23"/>
      <c r="Z8" s="22"/>
      <c r="AA8" s="24">
        <f t="shared" ref="AA8:AA71" si="11">Z8/355.62</f>
        <v>0</v>
      </c>
      <c r="AB8" s="20"/>
      <c r="AC8" s="22"/>
      <c r="AD8" s="24">
        <f t="shared" ref="AD8:AD71" si="12">AC8/355.62</f>
        <v>0</v>
      </c>
      <c r="AE8" s="22"/>
      <c r="AF8" s="22"/>
      <c r="AG8" s="22">
        <v>30</v>
      </c>
      <c r="AH8" s="22">
        <v>73</v>
      </c>
      <c r="AI8" s="22">
        <v>95</v>
      </c>
      <c r="AJ8" s="22">
        <v>141</v>
      </c>
      <c r="AK8" s="22">
        <v>106</v>
      </c>
      <c r="AL8" s="22">
        <v>17</v>
      </c>
      <c r="AM8" s="22">
        <v>4.5</v>
      </c>
      <c r="AN8" s="25">
        <v>76.3</v>
      </c>
      <c r="AO8" s="25">
        <v>60.2</v>
      </c>
      <c r="AP8" s="26">
        <v>86.08</v>
      </c>
      <c r="AQ8" s="25">
        <v>99.7</v>
      </c>
      <c r="AR8" s="25">
        <v>99.5</v>
      </c>
      <c r="AS8" s="25">
        <v>104.25</v>
      </c>
      <c r="AT8" s="25"/>
    </row>
    <row r="9" spans="2:46">
      <c r="B9" s="11">
        <v>44578</v>
      </c>
      <c r="C9" s="20">
        <v>74.23</v>
      </c>
      <c r="D9" s="21">
        <v>130.44999999999999</v>
      </c>
      <c r="E9" s="22">
        <f t="shared" si="0"/>
        <v>75916.587095899464</v>
      </c>
      <c r="F9" s="23">
        <v>118.02</v>
      </c>
      <c r="G9" s="22">
        <f t="shared" si="1"/>
        <v>68682.833338888886</v>
      </c>
      <c r="H9" s="20">
        <v>75200</v>
      </c>
      <c r="I9" s="24">
        <f t="shared" si="3"/>
        <v>211.46167257184635</v>
      </c>
      <c r="J9" s="20"/>
      <c r="K9" s="24">
        <f t="shared" si="4"/>
        <v>0</v>
      </c>
      <c r="L9" s="20">
        <v>78200</v>
      </c>
      <c r="M9" s="24">
        <f t="shared" si="5"/>
        <v>219.89764355210619</v>
      </c>
      <c r="N9" s="20">
        <v>125000</v>
      </c>
      <c r="O9" s="24">
        <f t="shared" si="6"/>
        <v>351.49879084415949</v>
      </c>
      <c r="P9" s="22">
        <v>30000</v>
      </c>
      <c r="Q9" s="24">
        <f t="shared" si="7"/>
        <v>84.359709802598275</v>
      </c>
      <c r="R9" s="22">
        <v>6000</v>
      </c>
      <c r="S9" s="24">
        <f t="shared" si="8"/>
        <v>16.871941960519656</v>
      </c>
      <c r="T9" s="22">
        <v>1500</v>
      </c>
      <c r="U9" s="24">
        <f t="shared" si="9"/>
        <v>4.2179854901299141</v>
      </c>
      <c r="V9" s="23">
        <v>138</v>
      </c>
      <c r="W9" s="22">
        <f t="shared" si="2"/>
        <v>80310.379603174602</v>
      </c>
      <c r="X9" s="24">
        <f t="shared" si="10"/>
        <v>225.83201058201058</v>
      </c>
      <c r="Y9" s="23"/>
      <c r="Z9" s="22"/>
      <c r="AA9" s="24">
        <f t="shared" si="11"/>
        <v>0</v>
      </c>
      <c r="AB9" s="20"/>
      <c r="AC9" s="22"/>
      <c r="AD9" s="24">
        <f t="shared" si="12"/>
        <v>0</v>
      </c>
      <c r="AE9" s="22"/>
      <c r="AF9" s="22"/>
      <c r="AG9" s="22">
        <v>30</v>
      </c>
      <c r="AH9" s="22">
        <v>73</v>
      </c>
      <c r="AI9" s="22">
        <v>95</v>
      </c>
      <c r="AJ9" s="22">
        <v>141</v>
      </c>
      <c r="AK9" s="22">
        <v>106</v>
      </c>
      <c r="AL9" s="22">
        <v>17</v>
      </c>
      <c r="AM9" s="22">
        <v>4.5</v>
      </c>
      <c r="AN9" s="25">
        <v>76.599999999999994</v>
      </c>
      <c r="AO9" s="25">
        <v>61.4</v>
      </c>
      <c r="AP9" s="26">
        <v>86.75</v>
      </c>
      <c r="AQ9" s="25">
        <v>99.7</v>
      </c>
      <c r="AR9" s="25">
        <v>99.5</v>
      </c>
      <c r="AS9" s="25">
        <v>104.25</v>
      </c>
      <c r="AT9" s="25"/>
    </row>
    <row r="10" spans="2:46">
      <c r="B10" s="11">
        <v>44585</v>
      </c>
      <c r="C10" s="20">
        <v>74.62</v>
      </c>
      <c r="D10" s="21">
        <v>136.69999999999999</v>
      </c>
      <c r="E10" s="22">
        <f t="shared" si="0"/>
        <v>79971.803648148154</v>
      </c>
      <c r="F10" s="23">
        <v>121.74</v>
      </c>
      <c r="G10" s="22">
        <f t="shared" si="1"/>
        <v>71219.951544444455</v>
      </c>
      <c r="H10" s="20">
        <v>77000</v>
      </c>
      <c r="I10" s="24">
        <f t="shared" si="3"/>
        <v>216.52325516000224</v>
      </c>
      <c r="J10" s="20"/>
      <c r="K10" s="24">
        <f t="shared" si="4"/>
        <v>0</v>
      </c>
      <c r="L10" s="20">
        <v>80000</v>
      </c>
      <c r="M10" s="24">
        <f t="shared" si="5"/>
        <v>224.95922614026207</v>
      </c>
      <c r="N10" s="20">
        <v>125000</v>
      </c>
      <c r="O10" s="24">
        <f t="shared" si="6"/>
        <v>351.49879084415949</v>
      </c>
      <c r="P10" s="22">
        <v>30000</v>
      </c>
      <c r="Q10" s="24">
        <f t="shared" si="7"/>
        <v>84.359709802598275</v>
      </c>
      <c r="R10" s="22">
        <v>6000</v>
      </c>
      <c r="S10" s="24">
        <f t="shared" si="8"/>
        <v>16.871941960519656</v>
      </c>
      <c r="T10" s="22">
        <v>1500</v>
      </c>
      <c r="U10" s="24">
        <f t="shared" si="9"/>
        <v>4.2179854901299141</v>
      </c>
      <c r="V10" s="23">
        <v>138.25</v>
      </c>
      <c r="W10" s="22">
        <f t="shared" si="2"/>
        <v>80878.579768518524</v>
      </c>
      <c r="X10" s="24">
        <f t="shared" si="10"/>
        <v>227.42978395061729</v>
      </c>
      <c r="Y10" s="23"/>
      <c r="Z10" s="22"/>
      <c r="AA10" s="24">
        <f t="shared" si="11"/>
        <v>0</v>
      </c>
      <c r="AB10" s="20"/>
      <c r="AC10" s="22"/>
      <c r="AD10" s="24">
        <f t="shared" si="12"/>
        <v>0</v>
      </c>
      <c r="AE10" s="22"/>
      <c r="AF10" s="22"/>
      <c r="AG10" s="22">
        <v>30</v>
      </c>
      <c r="AH10" s="22">
        <v>73</v>
      </c>
      <c r="AI10" s="22">
        <v>99</v>
      </c>
      <c r="AJ10" s="22">
        <v>141</v>
      </c>
      <c r="AK10" s="22">
        <v>106</v>
      </c>
      <c r="AL10" s="22">
        <v>17</v>
      </c>
      <c r="AM10" s="22">
        <v>4.5</v>
      </c>
      <c r="AN10" s="25">
        <v>77.2</v>
      </c>
      <c r="AO10" s="25">
        <v>62</v>
      </c>
      <c r="AP10" s="26">
        <v>87.47</v>
      </c>
      <c r="AQ10" s="25">
        <v>99.75</v>
      </c>
      <c r="AR10" s="25">
        <v>99.5</v>
      </c>
      <c r="AS10" s="25">
        <v>104.25</v>
      </c>
      <c r="AT10" s="25"/>
    </row>
    <row r="11" spans="2:46">
      <c r="B11" s="11">
        <v>44592</v>
      </c>
      <c r="C11" s="20">
        <v>74.680000000000007</v>
      </c>
      <c r="D11" s="21">
        <v>135.85</v>
      </c>
      <c r="E11" s="22">
        <f t="shared" si="0"/>
        <v>79538.442732804237</v>
      </c>
      <c r="F11" s="23">
        <v>125.07</v>
      </c>
      <c r="G11" s="22">
        <f t="shared" si="1"/>
        <v>73226.890192063496</v>
      </c>
      <c r="H11" s="20">
        <v>79000</v>
      </c>
      <c r="I11" s="24">
        <f t="shared" si="3"/>
        <v>222.14723581350879</v>
      </c>
      <c r="J11" s="20"/>
      <c r="K11" s="24">
        <f t="shared" si="4"/>
        <v>0</v>
      </c>
      <c r="L11" s="20">
        <v>82000</v>
      </c>
      <c r="M11" s="24">
        <f t="shared" si="5"/>
        <v>230.58320679376862</v>
      </c>
      <c r="N11" s="20">
        <v>125000</v>
      </c>
      <c r="O11" s="24">
        <f t="shared" si="6"/>
        <v>351.49879084415949</v>
      </c>
      <c r="P11" s="22">
        <v>30000</v>
      </c>
      <c r="Q11" s="24">
        <f t="shared" si="7"/>
        <v>84.359709802598275</v>
      </c>
      <c r="R11" s="22">
        <v>6000</v>
      </c>
      <c r="S11" s="24">
        <f t="shared" si="8"/>
        <v>16.871941960519656</v>
      </c>
      <c r="T11" s="22">
        <v>1500</v>
      </c>
      <c r="U11" s="24">
        <f t="shared" si="9"/>
        <v>4.2179854901299141</v>
      </c>
      <c r="V11" s="23">
        <v>147.4</v>
      </c>
      <c r="W11" s="22">
        <f t="shared" si="2"/>
        <v>86300.820455026478</v>
      </c>
      <c r="X11" s="24">
        <f t="shared" si="10"/>
        <v>242.67707231040572</v>
      </c>
      <c r="Y11" s="23"/>
      <c r="Z11" s="22"/>
      <c r="AA11" s="24">
        <f t="shared" si="11"/>
        <v>0</v>
      </c>
      <c r="AB11" s="20"/>
      <c r="AC11" s="22"/>
      <c r="AD11" s="24">
        <f t="shared" si="12"/>
        <v>0</v>
      </c>
      <c r="AE11" s="22"/>
      <c r="AF11" s="22"/>
      <c r="AG11" s="22">
        <v>33</v>
      </c>
      <c r="AH11" s="22">
        <v>83</v>
      </c>
      <c r="AI11" s="22">
        <v>98</v>
      </c>
      <c r="AJ11" s="22">
        <v>168</v>
      </c>
      <c r="AK11" s="22">
        <v>120</v>
      </c>
      <c r="AL11" s="22">
        <v>27.5</v>
      </c>
      <c r="AM11" s="22">
        <v>4.5</v>
      </c>
      <c r="AN11" s="25">
        <v>79.2</v>
      </c>
      <c r="AO11" s="25">
        <v>63.1</v>
      </c>
      <c r="AP11" s="26">
        <v>89.56</v>
      </c>
      <c r="AQ11" s="25">
        <v>100.8</v>
      </c>
      <c r="AR11" s="25">
        <v>100.5</v>
      </c>
      <c r="AS11" s="25">
        <v>105.25</v>
      </c>
      <c r="AT11" s="25"/>
    </row>
    <row r="12" spans="2:46">
      <c r="B12" s="11">
        <v>44599</v>
      </c>
      <c r="C12" s="20">
        <v>74.64</v>
      </c>
      <c r="D12" s="21">
        <v>140.15</v>
      </c>
      <c r="E12" s="22">
        <f t="shared" si="0"/>
        <v>82012.087158730166</v>
      </c>
      <c r="F12" s="23">
        <v>126.74</v>
      </c>
      <c r="G12" s="22">
        <f t="shared" si="1"/>
        <v>74164.908501587299</v>
      </c>
      <c r="H12" s="20">
        <v>79500</v>
      </c>
      <c r="I12" s="24">
        <f t="shared" si="3"/>
        <v>223.55323097688543</v>
      </c>
      <c r="J12" s="20"/>
      <c r="K12" s="24">
        <f t="shared" si="4"/>
        <v>0</v>
      </c>
      <c r="L12" s="20">
        <v>81000</v>
      </c>
      <c r="M12" s="24">
        <f t="shared" si="5"/>
        <v>227.77121646701536</v>
      </c>
      <c r="N12" s="20">
        <v>110000</v>
      </c>
      <c r="O12" s="24">
        <f t="shared" si="6"/>
        <v>309.31893594286038</v>
      </c>
      <c r="P12" s="22">
        <v>24000</v>
      </c>
      <c r="Q12" s="24">
        <f t="shared" si="7"/>
        <v>67.487767842078625</v>
      </c>
      <c r="R12" s="22">
        <v>6000</v>
      </c>
      <c r="S12" s="24">
        <f t="shared" si="8"/>
        <v>16.871941960519656</v>
      </c>
      <c r="T12" s="22">
        <v>1300</v>
      </c>
      <c r="U12" s="24">
        <f t="shared" si="9"/>
        <v>3.6555874247792586</v>
      </c>
      <c r="V12" s="23">
        <v>150.5</v>
      </c>
      <c r="W12" s="22">
        <f t="shared" si="2"/>
        <v>88068.63444444444</v>
      </c>
      <c r="X12" s="24">
        <f t="shared" si="10"/>
        <v>247.64814814814812</v>
      </c>
      <c r="Y12" s="23"/>
      <c r="Z12" s="22"/>
      <c r="AA12" s="24">
        <f t="shared" si="11"/>
        <v>0</v>
      </c>
      <c r="AB12" s="20"/>
      <c r="AC12" s="22"/>
      <c r="AD12" s="24">
        <f t="shared" si="12"/>
        <v>0</v>
      </c>
      <c r="AE12" s="22"/>
      <c r="AF12" s="22"/>
      <c r="AG12" s="22">
        <v>33</v>
      </c>
      <c r="AH12" s="22">
        <v>83</v>
      </c>
      <c r="AI12" s="22">
        <v>98</v>
      </c>
      <c r="AJ12" s="22">
        <v>168</v>
      </c>
      <c r="AK12" s="22">
        <v>120</v>
      </c>
      <c r="AL12" s="22">
        <v>27.5</v>
      </c>
      <c r="AM12" s="22">
        <v>4.5</v>
      </c>
      <c r="AN12" s="25">
        <v>79.8</v>
      </c>
      <c r="AO12" s="25">
        <v>63.3</v>
      </c>
      <c r="AP12" s="26">
        <v>90.15</v>
      </c>
      <c r="AQ12" s="25">
        <v>101</v>
      </c>
      <c r="AR12" s="25">
        <v>100.8</v>
      </c>
      <c r="AS12" s="25">
        <v>105.5</v>
      </c>
      <c r="AT12" s="25"/>
    </row>
    <row r="13" spans="2:46">
      <c r="B13" s="11">
        <v>44606</v>
      </c>
      <c r="C13" s="20">
        <v>75.58</v>
      </c>
      <c r="D13" s="21">
        <v>139.69999999999999</v>
      </c>
      <c r="E13" s="22">
        <f t="shared" si="0"/>
        <v>82778.285187830683</v>
      </c>
      <c r="F13" s="23">
        <v>125.35</v>
      </c>
      <c r="G13" s="22">
        <f t="shared" si="1"/>
        <v>74275.2902526455</v>
      </c>
      <c r="H13" s="20">
        <v>80000</v>
      </c>
      <c r="I13" s="24">
        <f t="shared" si="3"/>
        <v>224.95922614026207</v>
      </c>
      <c r="J13" s="20"/>
      <c r="K13" s="24">
        <f t="shared" si="4"/>
        <v>0</v>
      </c>
      <c r="L13" s="20">
        <v>81500</v>
      </c>
      <c r="M13" s="24">
        <f t="shared" si="5"/>
        <v>229.17721163039198</v>
      </c>
      <c r="N13" s="20">
        <v>100000</v>
      </c>
      <c r="O13" s="24">
        <f t="shared" si="6"/>
        <v>281.1990326753276</v>
      </c>
      <c r="P13" s="22">
        <v>22000</v>
      </c>
      <c r="Q13" s="24">
        <f t="shared" si="7"/>
        <v>61.863787188572068</v>
      </c>
      <c r="R13" s="22">
        <v>6000</v>
      </c>
      <c r="S13" s="24">
        <f t="shared" si="8"/>
        <v>16.871941960519656</v>
      </c>
      <c r="T13" s="22">
        <v>1300</v>
      </c>
      <c r="U13" s="24">
        <f t="shared" si="9"/>
        <v>3.6555874247792586</v>
      </c>
      <c r="V13" s="23">
        <v>149.5</v>
      </c>
      <c r="W13" s="22">
        <f t="shared" si="2"/>
        <v>88585.208558201062</v>
      </c>
      <c r="X13" s="24">
        <f t="shared" si="10"/>
        <v>249.10074955908291</v>
      </c>
      <c r="Y13" s="23"/>
      <c r="Z13" s="22"/>
      <c r="AA13" s="24">
        <f t="shared" si="11"/>
        <v>0</v>
      </c>
      <c r="AB13" s="20"/>
      <c r="AC13" s="22"/>
      <c r="AD13" s="24">
        <f t="shared" si="12"/>
        <v>0</v>
      </c>
      <c r="AE13" s="22"/>
      <c r="AF13" s="22"/>
      <c r="AG13" s="22">
        <v>33</v>
      </c>
      <c r="AH13" s="22">
        <v>83</v>
      </c>
      <c r="AI13" s="22">
        <v>98</v>
      </c>
      <c r="AJ13" s="22">
        <v>168</v>
      </c>
      <c r="AK13" s="22">
        <v>120</v>
      </c>
      <c r="AL13" s="22">
        <v>27.5</v>
      </c>
      <c r="AM13" s="22">
        <v>4.5</v>
      </c>
      <c r="AN13" s="22">
        <v>82.8</v>
      </c>
      <c r="AO13" s="25">
        <v>61.7</v>
      </c>
      <c r="AP13" s="26">
        <v>92.19</v>
      </c>
      <c r="AQ13" s="25">
        <v>101.25</v>
      </c>
      <c r="AR13" s="25">
        <v>101</v>
      </c>
      <c r="AS13" s="25">
        <v>105.75</v>
      </c>
      <c r="AT13" s="25"/>
    </row>
    <row r="14" spans="2:46">
      <c r="B14" s="11">
        <v>44613</v>
      </c>
      <c r="C14" s="20">
        <v>74.41</v>
      </c>
      <c r="D14" s="21">
        <v>135.69999999999999</v>
      </c>
      <c r="E14" s="22">
        <f t="shared" si="0"/>
        <v>79163.371824074056</v>
      </c>
      <c r="F14" s="23">
        <v>122.99</v>
      </c>
      <c r="G14" s="22">
        <f t="shared" si="1"/>
        <v>71748.733239814814</v>
      </c>
      <c r="H14" s="20">
        <v>80200</v>
      </c>
      <c r="I14" s="24">
        <f t="shared" si="3"/>
        <v>225.52162420561274</v>
      </c>
      <c r="J14" s="20"/>
      <c r="K14" s="24">
        <f t="shared" si="4"/>
        <v>0</v>
      </c>
      <c r="L14" s="20">
        <v>81500</v>
      </c>
      <c r="M14" s="24">
        <f t="shared" si="5"/>
        <v>229.17721163039198</v>
      </c>
      <c r="N14" s="20">
        <v>105000</v>
      </c>
      <c r="O14" s="24">
        <f t="shared" si="6"/>
        <v>295.25898430909399</v>
      </c>
      <c r="P14" s="22">
        <v>20500</v>
      </c>
      <c r="Q14" s="24">
        <f t="shared" si="7"/>
        <v>57.645801698442156</v>
      </c>
      <c r="R14" s="22">
        <v>6000</v>
      </c>
      <c r="S14" s="24">
        <f t="shared" si="8"/>
        <v>16.871941960519656</v>
      </c>
      <c r="T14" s="22">
        <v>1300</v>
      </c>
      <c r="U14" s="24">
        <f t="shared" si="9"/>
        <v>3.6555874247792586</v>
      </c>
      <c r="V14" s="23">
        <v>149.5</v>
      </c>
      <c r="W14" s="22">
        <f t="shared" si="2"/>
        <v>87213.884212962963</v>
      </c>
      <c r="X14" s="24">
        <f t="shared" si="10"/>
        <v>245.2445987654321</v>
      </c>
      <c r="Y14" s="23"/>
      <c r="Z14" s="22"/>
      <c r="AA14" s="24">
        <f t="shared" si="11"/>
        <v>0</v>
      </c>
      <c r="AB14" s="20"/>
      <c r="AC14" s="22"/>
      <c r="AD14" s="24">
        <f t="shared" si="12"/>
        <v>0</v>
      </c>
      <c r="AE14" s="22"/>
      <c r="AF14" s="22"/>
      <c r="AG14" s="22">
        <v>33</v>
      </c>
      <c r="AH14" s="22">
        <v>83</v>
      </c>
      <c r="AI14" s="22">
        <v>103</v>
      </c>
      <c r="AJ14" s="22">
        <v>168</v>
      </c>
      <c r="AK14" s="22">
        <v>120</v>
      </c>
      <c r="AL14" s="22">
        <v>27.5</v>
      </c>
      <c r="AM14" s="22">
        <v>4.5</v>
      </c>
      <c r="AN14" s="22">
        <v>82.4</v>
      </c>
      <c r="AO14" s="25">
        <v>60.6</v>
      </c>
      <c r="AP14" s="26">
        <v>91.47</v>
      </c>
      <c r="AQ14" s="25">
        <v>101.25</v>
      </c>
      <c r="AR14" s="25">
        <v>101</v>
      </c>
      <c r="AS14" s="25">
        <v>105.75</v>
      </c>
      <c r="AT14" s="25"/>
    </row>
    <row r="15" spans="2:46">
      <c r="B15" s="11">
        <v>44620</v>
      </c>
      <c r="C15" s="20">
        <v>75.41</v>
      </c>
      <c r="D15" s="21">
        <v>135.19999999999999</v>
      </c>
      <c r="E15" s="22">
        <f t="shared" si="0"/>
        <v>79931.647439153428</v>
      </c>
      <c r="F15" s="23">
        <v>122.12</v>
      </c>
      <c r="G15" s="22">
        <f t="shared" si="1"/>
        <v>72198.615275661374</v>
      </c>
      <c r="H15" s="20">
        <v>78300</v>
      </c>
      <c r="I15" s="24">
        <f t="shared" si="3"/>
        <v>220.17884258478151</v>
      </c>
      <c r="J15" s="20"/>
      <c r="K15" s="24">
        <f t="shared" si="4"/>
        <v>0</v>
      </c>
      <c r="L15" s="20">
        <v>79000</v>
      </c>
      <c r="M15" s="24">
        <f t="shared" si="5"/>
        <v>222.14723581350879</v>
      </c>
      <c r="N15" s="20">
        <v>100000</v>
      </c>
      <c r="O15" s="24">
        <f t="shared" si="6"/>
        <v>281.1990326753276</v>
      </c>
      <c r="P15" s="22">
        <v>18000</v>
      </c>
      <c r="Q15" s="24">
        <f t="shared" si="7"/>
        <v>50.615825881558969</v>
      </c>
      <c r="R15" s="22">
        <v>6000</v>
      </c>
      <c r="S15" s="24">
        <f t="shared" si="8"/>
        <v>16.871941960519656</v>
      </c>
      <c r="T15" s="22">
        <v>1300</v>
      </c>
      <c r="U15" s="24">
        <f t="shared" si="9"/>
        <v>3.6555874247792586</v>
      </c>
      <c r="V15" s="23">
        <v>147.69999999999999</v>
      </c>
      <c r="W15" s="22">
        <f t="shared" si="2"/>
        <v>87321.777564814794</v>
      </c>
      <c r="X15" s="24">
        <f t="shared" si="10"/>
        <v>245.54799382716044</v>
      </c>
      <c r="Y15" s="23"/>
      <c r="Z15" s="22"/>
      <c r="AA15" s="24">
        <f t="shared" si="11"/>
        <v>0</v>
      </c>
      <c r="AB15" s="20"/>
      <c r="AC15" s="22"/>
      <c r="AD15" s="24">
        <f t="shared" si="12"/>
        <v>0</v>
      </c>
      <c r="AE15" s="22"/>
      <c r="AF15" s="22"/>
      <c r="AG15" s="22">
        <v>32</v>
      </c>
      <c r="AH15" s="22">
        <v>81</v>
      </c>
      <c r="AI15" s="22">
        <v>99</v>
      </c>
      <c r="AJ15" s="22">
        <v>168</v>
      </c>
      <c r="AK15" s="22">
        <v>120</v>
      </c>
      <c r="AL15" s="22">
        <v>27.5</v>
      </c>
      <c r="AM15" s="22">
        <v>4.5</v>
      </c>
      <c r="AN15" s="22">
        <v>84</v>
      </c>
      <c r="AO15" s="25">
        <v>59.6</v>
      </c>
      <c r="AP15" s="26">
        <v>92.5</v>
      </c>
      <c r="AQ15" s="25">
        <v>101.25</v>
      </c>
      <c r="AR15" s="25">
        <v>101</v>
      </c>
      <c r="AS15" s="25">
        <v>101.25</v>
      </c>
      <c r="AT15" s="25"/>
    </row>
    <row r="16" spans="2:46">
      <c r="B16" s="11">
        <v>44627</v>
      </c>
      <c r="C16" s="20">
        <v>76.760000000000005</v>
      </c>
      <c r="D16" s="21">
        <v>135.5</v>
      </c>
      <c r="E16" s="22">
        <f t="shared" si="0"/>
        <v>81543.132883597878</v>
      </c>
      <c r="F16" s="23">
        <v>120.2</v>
      </c>
      <c r="G16" s="22">
        <f t="shared" si="1"/>
        <v>72335.679502645507</v>
      </c>
      <c r="H16" s="20">
        <v>78500</v>
      </c>
      <c r="I16" s="24">
        <f t="shared" si="3"/>
        <v>220.74124065013217</v>
      </c>
      <c r="J16" s="20"/>
      <c r="K16" s="24">
        <f t="shared" si="4"/>
        <v>0</v>
      </c>
      <c r="L16" s="20">
        <v>79500</v>
      </c>
      <c r="M16" s="24">
        <f t="shared" si="5"/>
        <v>223.55323097688543</v>
      </c>
      <c r="N16" s="20">
        <v>100000</v>
      </c>
      <c r="O16" s="24">
        <f t="shared" si="6"/>
        <v>281.1990326753276</v>
      </c>
      <c r="P16" s="22">
        <v>15000</v>
      </c>
      <c r="Q16" s="24">
        <f t="shared" si="7"/>
        <v>42.179854901299137</v>
      </c>
      <c r="R16" s="22">
        <v>6000</v>
      </c>
      <c r="S16" s="24">
        <f t="shared" si="8"/>
        <v>16.871941960519656</v>
      </c>
      <c r="T16" s="22">
        <v>1300</v>
      </c>
      <c r="U16" s="24">
        <f t="shared" si="9"/>
        <v>3.6555874247792586</v>
      </c>
      <c r="V16" s="23">
        <v>145.5</v>
      </c>
      <c r="W16" s="22">
        <f t="shared" si="2"/>
        <v>87561.076269841273</v>
      </c>
      <c r="X16" s="24">
        <f t="shared" si="10"/>
        <v>246.22089947089947</v>
      </c>
      <c r="Y16" s="23"/>
      <c r="Z16" s="22"/>
      <c r="AA16" s="24">
        <f t="shared" si="11"/>
        <v>0</v>
      </c>
      <c r="AB16" s="20"/>
      <c r="AC16" s="22"/>
      <c r="AD16" s="24">
        <f t="shared" si="12"/>
        <v>0</v>
      </c>
      <c r="AE16" s="22"/>
      <c r="AF16" s="22"/>
      <c r="AG16" s="22">
        <v>33</v>
      </c>
      <c r="AH16" s="22">
        <v>83</v>
      </c>
      <c r="AI16" s="22">
        <v>94</v>
      </c>
      <c r="AJ16" s="22">
        <v>168</v>
      </c>
      <c r="AK16" s="22">
        <v>120</v>
      </c>
      <c r="AL16" s="22">
        <v>27.5</v>
      </c>
      <c r="AM16" s="22">
        <v>4.5</v>
      </c>
      <c r="AN16" s="22">
        <v>88.5</v>
      </c>
      <c r="AO16" s="25">
        <v>63</v>
      </c>
      <c r="AP16" s="26">
        <v>97.53</v>
      </c>
      <c r="AQ16" s="25">
        <v>102.25</v>
      </c>
      <c r="AR16" s="25">
        <v>102</v>
      </c>
      <c r="AS16" s="25">
        <v>106.75</v>
      </c>
      <c r="AT16" s="25"/>
    </row>
    <row r="17" spans="2:46">
      <c r="B17" s="11">
        <v>44634</v>
      </c>
      <c r="C17" s="20">
        <v>76.45</v>
      </c>
      <c r="D17" s="21">
        <v>137.6</v>
      </c>
      <c r="E17" s="22">
        <f t="shared" si="0"/>
        <v>82472.480211640199</v>
      </c>
      <c r="F17" s="23">
        <v>118.44</v>
      </c>
      <c r="G17" s="22">
        <f t="shared" si="1"/>
        <v>70988.666833333336</v>
      </c>
      <c r="H17" s="20">
        <v>80000</v>
      </c>
      <c r="I17" s="24">
        <f t="shared" si="3"/>
        <v>224.95922614026207</v>
      </c>
      <c r="J17" s="20"/>
      <c r="K17" s="24">
        <f t="shared" si="4"/>
        <v>0</v>
      </c>
      <c r="L17" s="20">
        <v>81000</v>
      </c>
      <c r="M17" s="24">
        <f t="shared" si="5"/>
        <v>227.77121646701536</v>
      </c>
      <c r="N17" s="20">
        <v>105000</v>
      </c>
      <c r="O17" s="24">
        <f t="shared" si="6"/>
        <v>295.25898430909399</v>
      </c>
      <c r="P17" s="22">
        <v>15000</v>
      </c>
      <c r="Q17" s="24">
        <f t="shared" si="7"/>
        <v>42.179854901299137</v>
      </c>
      <c r="R17" s="22">
        <v>6000</v>
      </c>
      <c r="S17" s="24">
        <f t="shared" si="8"/>
        <v>16.871941960519656</v>
      </c>
      <c r="T17" s="22">
        <v>1300</v>
      </c>
      <c r="U17" s="24">
        <f t="shared" si="9"/>
        <v>3.6555874247792586</v>
      </c>
      <c r="V17" s="23">
        <v>146</v>
      </c>
      <c r="W17" s="22">
        <f t="shared" si="2"/>
        <v>87507.137433862445</v>
      </c>
      <c r="X17" s="24">
        <f t="shared" si="10"/>
        <v>246.06922398589069</v>
      </c>
      <c r="Y17" s="23"/>
      <c r="Z17" s="22"/>
      <c r="AA17" s="24">
        <f t="shared" si="11"/>
        <v>0</v>
      </c>
      <c r="AB17" s="20"/>
      <c r="AC17" s="22"/>
      <c r="AD17" s="24">
        <f t="shared" si="12"/>
        <v>0</v>
      </c>
      <c r="AE17" s="22"/>
      <c r="AF17" s="22"/>
      <c r="AG17" s="22">
        <v>36</v>
      </c>
      <c r="AH17" s="22">
        <v>87</v>
      </c>
      <c r="AI17" s="22">
        <v>97</v>
      </c>
      <c r="AJ17" s="22">
        <v>178</v>
      </c>
      <c r="AK17" s="22">
        <v>125</v>
      </c>
      <c r="AL17" s="22">
        <v>29</v>
      </c>
      <c r="AM17" s="22">
        <v>4.5</v>
      </c>
      <c r="AN17" s="25">
        <v>93.8</v>
      </c>
      <c r="AO17" s="25">
        <v>65.7</v>
      </c>
      <c r="AP17" s="26">
        <v>103.01</v>
      </c>
      <c r="AQ17" s="25">
        <v>107.25</v>
      </c>
      <c r="AR17" s="25">
        <v>107</v>
      </c>
      <c r="AS17" s="25">
        <v>111.75</v>
      </c>
      <c r="AT17" s="25"/>
    </row>
    <row r="18" spans="2:46">
      <c r="B18" s="11">
        <v>44641</v>
      </c>
      <c r="C18" s="20">
        <v>76.25</v>
      </c>
      <c r="D18" s="21">
        <v>138.5</v>
      </c>
      <c r="E18" s="22">
        <f t="shared" si="0"/>
        <v>82794.74123677249</v>
      </c>
      <c r="F18" s="23">
        <v>118.44</v>
      </c>
      <c r="G18" s="22">
        <f t="shared" si="1"/>
        <v>70802.954166666663</v>
      </c>
      <c r="H18" s="20">
        <v>84000</v>
      </c>
      <c r="I18" s="24">
        <f t="shared" si="3"/>
        <v>236.20718744727517</v>
      </c>
      <c r="J18" s="20"/>
      <c r="K18" s="24">
        <f t="shared" si="4"/>
        <v>0</v>
      </c>
      <c r="L18" s="20">
        <v>86000</v>
      </c>
      <c r="M18" s="24">
        <f t="shared" si="5"/>
        <v>241.83116810078172</v>
      </c>
      <c r="N18" s="20">
        <v>110000</v>
      </c>
      <c r="O18" s="24">
        <f t="shared" si="6"/>
        <v>309.31893594286038</v>
      </c>
      <c r="P18" s="22">
        <v>15000</v>
      </c>
      <c r="Q18" s="24">
        <f t="shared" si="7"/>
        <v>42.179854901299137</v>
      </c>
      <c r="R18" s="22">
        <v>6000</v>
      </c>
      <c r="S18" s="24">
        <f t="shared" si="8"/>
        <v>16.871941960519656</v>
      </c>
      <c r="T18" s="22">
        <v>1300</v>
      </c>
      <c r="U18" s="24">
        <f t="shared" si="9"/>
        <v>3.6555874247792586</v>
      </c>
      <c r="V18" s="23">
        <v>156</v>
      </c>
      <c r="W18" s="22">
        <f t="shared" si="2"/>
        <v>93256.170634920636</v>
      </c>
      <c r="X18" s="24">
        <f t="shared" si="10"/>
        <v>262.23544973544972</v>
      </c>
      <c r="Y18" s="23"/>
      <c r="Z18" s="22"/>
      <c r="AA18" s="24">
        <f t="shared" si="11"/>
        <v>0</v>
      </c>
      <c r="AB18" s="20"/>
      <c r="AC18" s="22"/>
      <c r="AD18" s="24">
        <f t="shared" si="12"/>
        <v>0</v>
      </c>
      <c r="AE18" s="22"/>
      <c r="AF18" s="22"/>
      <c r="AG18" s="22">
        <v>36</v>
      </c>
      <c r="AH18" s="22">
        <v>87</v>
      </c>
      <c r="AI18" s="22">
        <v>101</v>
      </c>
      <c r="AJ18" s="22">
        <v>178</v>
      </c>
      <c r="AK18" s="22">
        <v>125</v>
      </c>
      <c r="AL18" s="22">
        <v>29</v>
      </c>
      <c r="AM18" s="22">
        <v>4.5</v>
      </c>
      <c r="AN18" s="25">
        <v>88.9</v>
      </c>
      <c r="AO18" s="25">
        <v>62.3</v>
      </c>
      <c r="AP18" s="26">
        <v>97.64</v>
      </c>
      <c r="AQ18" s="25">
        <v>104.25</v>
      </c>
      <c r="AR18" s="25">
        <v>104</v>
      </c>
      <c r="AS18" s="25">
        <v>108.75</v>
      </c>
      <c r="AT18" s="25"/>
    </row>
    <row r="19" spans="2:46">
      <c r="B19" s="11">
        <v>44801</v>
      </c>
      <c r="C19" s="20">
        <v>76.13</v>
      </c>
      <c r="D19" s="21">
        <v>147.75</v>
      </c>
      <c r="E19" s="22">
        <f t="shared" si="0"/>
        <v>88185.351656746032</v>
      </c>
      <c r="F19" s="23">
        <v>118.44</v>
      </c>
      <c r="G19" s="22">
        <f t="shared" si="1"/>
        <v>70691.526566666653</v>
      </c>
      <c r="H19" s="20">
        <v>90000</v>
      </c>
      <c r="I19" s="24">
        <f t="shared" si="3"/>
        <v>253.07912940779482</v>
      </c>
      <c r="J19" s="20"/>
      <c r="K19" s="24">
        <f t="shared" si="4"/>
        <v>0</v>
      </c>
      <c r="L19" s="20">
        <v>93000</v>
      </c>
      <c r="M19" s="24">
        <f t="shared" si="5"/>
        <v>261.51510038805463</v>
      </c>
      <c r="N19" s="20">
        <v>110000</v>
      </c>
      <c r="O19" s="24">
        <f t="shared" si="6"/>
        <v>309.31893594286038</v>
      </c>
      <c r="P19" s="22">
        <v>15000</v>
      </c>
      <c r="Q19" s="24">
        <f t="shared" si="7"/>
        <v>42.179854901299137</v>
      </c>
      <c r="R19" s="22">
        <v>6000</v>
      </c>
      <c r="S19" s="24">
        <f t="shared" si="8"/>
        <v>16.871941960519656</v>
      </c>
      <c r="T19" s="22">
        <v>1300</v>
      </c>
      <c r="U19" s="24">
        <f t="shared" si="9"/>
        <v>3.6555874247792586</v>
      </c>
      <c r="V19" s="23">
        <v>163</v>
      </c>
      <c r="W19" s="22">
        <f t="shared" si="2"/>
        <v>97287.393029100524</v>
      </c>
      <c r="X19" s="24">
        <f t="shared" si="10"/>
        <v>273.57120811287479</v>
      </c>
      <c r="Y19" s="23"/>
      <c r="Z19" s="22"/>
      <c r="AA19" s="24">
        <f t="shared" si="11"/>
        <v>0</v>
      </c>
      <c r="AB19" s="20"/>
      <c r="AC19" s="22"/>
      <c r="AD19" s="24">
        <f t="shared" si="12"/>
        <v>0</v>
      </c>
      <c r="AE19" s="22"/>
      <c r="AF19" s="22"/>
      <c r="AG19" s="22">
        <v>37</v>
      </c>
      <c r="AH19" s="22">
        <v>88</v>
      </c>
      <c r="AI19" s="22">
        <v>110</v>
      </c>
      <c r="AJ19" s="22">
        <v>180</v>
      </c>
      <c r="AK19" s="22">
        <v>127</v>
      </c>
      <c r="AL19" s="22">
        <v>30</v>
      </c>
      <c r="AM19" s="22">
        <v>4.5</v>
      </c>
      <c r="AN19" s="25">
        <v>92.7</v>
      </c>
      <c r="AO19" s="25">
        <v>62.3</v>
      </c>
      <c r="AP19" s="26">
        <v>100.91</v>
      </c>
      <c r="AQ19" s="25">
        <v>121</v>
      </c>
      <c r="AR19" s="25">
        <v>123</v>
      </c>
      <c r="AS19" s="25">
        <v>125</v>
      </c>
      <c r="AT19" s="25"/>
    </row>
    <row r="20" spans="2:46">
      <c r="B20" s="11">
        <v>44658</v>
      </c>
      <c r="C20" s="20">
        <v>76.05</v>
      </c>
      <c r="D20" s="21">
        <v>153.94999999999999</v>
      </c>
      <c r="E20" s="22">
        <f t="shared" si="0"/>
        <v>91789.296934523794</v>
      </c>
      <c r="F20" s="23">
        <v>134.69999999999999</v>
      </c>
      <c r="G20" s="22">
        <f t="shared" si="1"/>
        <v>80311.908392857134</v>
      </c>
      <c r="H20" s="20">
        <v>92000</v>
      </c>
      <c r="I20" s="24">
        <f t="shared" si="3"/>
        <v>258.7031100613014</v>
      </c>
      <c r="J20" s="20"/>
      <c r="K20" s="24">
        <f t="shared" si="4"/>
        <v>0</v>
      </c>
      <c r="L20" s="20">
        <v>94000</v>
      </c>
      <c r="M20" s="24">
        <f t="shared" si="5"/>
        <v>264.32709071480792</v>
      </c>
      <c r="N20" s="20">
        <v>110000</v>
      </c>
      <c r="O20" s="24">
        <f t="shared" si="6"/>
        <v>309.31893594286038</v>
      </c>
      <c r="P20" s="22">
        <v>15000</v>
      </c>
      <c r="Q20" s="24">
        <f t="shared" si="7"/>
        <v>42.179854901299137</v>
      </c>
      <c r="R20" s="22">
        <v>6000</v>
      </c>
      <c r="S20" s="24">
        <f t="shared" si="8"/>
        <v>16.871941960519656</v>
      </c>
      <c r="T20" s="22">
        <v>1300</v>
      </c>
      <c r="U20" s="24">
        <f t="shared" si="9"/>
        <v>3.6555874247792586</v>
      </c>
      <c r="V20" s="23">
        <v>163</v>
      </c>
      <c r="W20" s="22">
        <f t="shared" si="2"/>
        <v>97185.160119047607</v>
      </c>
      <c r="X20" s="24">
        <f t="shared" si="10"/>
        <v>273.28373015873012</v>
      </c>
      <c r="Y20" s="23"/>
      <c r="Z20" s="22"/>
      <c r="AA20" s="24">
        <f t="shared" si="11"/>
        <v>0</v>
      </c>
      <c r="AB20" s="20"/>
      <c r="AC20" s="22"/>
      <c r="AD20" s="24">
        <f t="shared" si="12"/>
        <v>0</v>
      </c>
      <c r="AE20" s="22"/>
      <c r="AF20" s="22"/>
      <c r="AG20" s="22">
        <v>37</v>
      </c>
      <c r="AH20" s="22">
        <v>92</v>
      </c>
      <c r="AI20" s="22">
        <v>113</v>
      </c>
      <c r="AJ20" s="22">
        <v>180</v>
      </c>
      <c r="AK20" s="22">
        <v>130</v>
      </c>
      <c r="AL20" s="22">
        <v>30</v>
      </c>
      <c r="AM20" s="22">
        <v>4.5</v>
      </c>
      <c r="AN20" s="25">
        <v>91.1</v>
      </c>
      <c r="AO20" s="25">
        <v>62.3</v>
      </c>
      <c r="AP20" s="26">
        <v>99.77</v>
      </c>
      <c r="AQ20" s="25">
        <v>120</v>
      </c>
      <c r="AR20" s="25">
        <v>122</v>
      </c>
      <c r="AS20" s="25">
        <v>124</v>
      </c>
      <c r="AT20" s="25"/>
    </row>
    <row r="21" spans="2:46">
      <c r="B21" s="11">
        <v>44662</v>
      </c>
      <c r="C21" s="20">
        <v>75.900000000000006</v>
      </c>
      <c r="D21" s="21">
        <v>152.30000000000001</v>
      </c>
      <c r="E21" s="22">
        <f t="shared" si="0"/>
        <v>90626.417182539706</v>
      </c>
      <c r="F21" s="23">
        <v>132.57</v>
      </c>
      <c r="G21" s="22">
        <f t="shared" si="1"/>
        <v>78886.041535714292</v>
      </c>
      <c r="H21" s="20">
        <v>93000</v>
      </c>
      <c r="I21" s="24">
        <f t="shared" si="3"/>
        <v>261.51510038805463</v>
      </c>
      <c r="J21" s="20"/>
      <c r="K21" s="24">
        <f t="shared" si="4"/>
        <v>0</v>
      </c>
      <c r="L21" s="20">
        <v>95500</v>
      </c>
      <c r="M21" s="24">
        <f t="shared" si="5"/>
        <v>268.54507620493786</v>
      </c>
      <c r="N21" s="20">
        <v>105000</v>
      </c>
      <c r="O21" s="24">
        <f t="shared" si="6"/>
        <v>295.25898430909399</v>
      </c>
      <c r="P21" s="22">
        <v>12000</v>
      </c>
      <c r="Q21" s="24">
        <f t="shared" si="7"/>
        <v>33.743883921039313</v>
      </c>
      <c r="R21" s="22">
        <v>6000</v>
      </c>
      <c r="S21" s="24">
        <f t="shared" si="8"/>
        <v>16.871941960519656</v>
      </c>
      <c r="T21" s="22">
        <v>1300</v>
      </c>
      <c r="U21" s="24">
        <f t="shared" si="9"/>
        <v>3.6555874247792586</v>
      </c>
      <c r="V21" s="23">
        <v>161</v>
      </c>
      <c r="W21" s="22">
        <f t="shared" si="2"/>
        <v>95803.369444444455</v>
      </c>
      <c r="X21" s="24">
        <f t="shared" si="10"/>
        <v>269.39814814814815</v>
      </c>
      <c r="Y21" s="23"/>
      <c r="Z21" s="22"/>
      <c r="AA21" s="24">
        <f t="shared" si="11"/>
        <v>0</v>
      </c>
      <c r="AB21" s="20"/>
      <c r="AC21" s="22"/>
      <c r="AD21" s="24">
        <f t="shared" si="12"/>
        <v>0</v>
      </c>
      <c r="AE21" s="22"/>
      <c r="AF21" s="22"/>
      <c r="AG21" s="22">
        <v>37</v>
      </c>
      <c r="AH21" s="22">
        <v>105</v>
      </c>
      <c r="AI21" s="22">
        <v>120</v>
      </c>
      <c r="AJ21" s="22">
        <v>180</v>
      </c>
      <c r="AK21" s="22">
        <v>130</v>
      </c>
      <c r="AL21" s="22">
        <v>30</v>
      </c>
      <c r="AM21" s="22">
        <v>4.5</v>
      </c>
      <c r="AN21" s="25">
        <v>91.1</v>
      </c>
      <c r="AO21" s="25">
        <v>62.3</v>
      </c>
      <c r="AP21" s="26">
        <v>99.77</v>
      </c>
      <c r="AQ21" s="25">
        <v>120</v>
      </c>
      <c r="AR21" s="25">
        <v>122</v>
      </c>
      <c r="AS21" s="25">
        <v>124</v>
      </c>
      <c r="AT21" s="25"/>
    </row>
    <row r="22" spans="2:46">
      <c r="B22" s="11">
        <v>44669</v>
      </c>
      <c r="C22" s="20">
        <v>76.36</v>
      </c>
      <c r="D22" s="21">
        <v>155.9</v>
      </c>
      <c r="E22" s="22">
        <f t="shared" si="0"/>
        <v>93330.83829100529</v>
      </c>
      <c r="F22" s="23">
        <v>144.6</v>
      </c>
      <c r="G22" s="22">
        <f t="shared" si="1"/>
        <v>86565.998825396819</v>
      </c>
      <c r="H22" s="20">
        <v>96000</v>
      </c>
      <c r="I22" s="24">
        <f t="shared" si="3"/>
        <v>269.9510713683145</v>
      </c>
      <c r="J22" s="20"/>
      <c r="K22" s="24">
        <f t="shared" si="4"/>
        <v>0</v>
      </c>
      <c r="L22" s="20">
        <v>98000</v>
      </c>
      <c r="M22" s="24">
        <f t="shared" si="5"/>
        <v>275.57505202182102</v>
      </c>
      <c r="N22" s="20">
        <v>112000</v>
      </c>
      <c r="O22" s="24">
        <f t="shared" si="6"/>
        <v>314.9429165963669</v>
      </c>
      <c r="P22" s="22">
        <v>12000</v>
      </c>
      <c r="Q22" s="24">
        <f t="shared" si="7"/>
        <v>33.743883921039313</v>
      </c>
      <c r="R22" s="22">
        <v>6000</v>
      </c>
      <c r="S22" s="24">
        <f t="shared" si="8"/>
        <v>16.871941960519656</v>
      </c>
      <c r="T22" s="22">
        <v>1100</v>
      </c>
      <c r="U22" s="24">
        <f t="shared" si="9"/>
        <v>3.0931893594286035</v>
      </c>
      <c r="V22" s="23">
        <v>175.8</v>
      </c>
      <c r="W22" s="22">
        <f t="shared" si="2"/>
        <v>105244.13965079366</v>
      </c>
      <c r="X22" s="24">
        <f t="shared" si="10"/>
        <v>295.94550264550264</v>
      </c>
      <c r="Y22" s="23"/>
      <c r="Z22" s="22"/>
      <c r="AA22" s="24">
        <f t="shared" si="11"/>
        <v>0</v>
      </c>
      <c r="AB22" s="20"/>
      <c r="AC22" s="22"/>
      <c r="AD22" s="24">
        <f t="shared" si="12"/>
        <v>0</v>
      </c>
      <c r="AE22" s="22"/>
      <c r="AF22" s="22"/>
      <c r="AG22" s="22">
        <v>37</v>
      </c>
      <c r="AH22" s="22">
        <v>105</v>
      </c>
      <c r="AI22" s="22">
        <v>124</v>
      </c>
      <c r="AJ22" s="22">
        <v>180</v>
      </c>
      <c r="AK22" s="22">
        <v>130</v>
      </c>
      <c r="AL22" s="22">
        <v>30</v>
      </c>
      <c r="AM22" s="22">
        <v>4.5</v>
      </c>
      <c r="AN22" s="25">
        <v>92.1</v>
      </c>
      <c r="AO22" s="25">
        <v>62</v>
      </c>
      <c r="AP22" s="26">
        <v>100.28</v>
      </c>
      <c r="AQ22" s="25">
        <v>121</v>
      </c>
      <c r="AR22" s="25">
        <v>123</v>
      </c>
      <c r="AS22" s="25">
        <v>125</v>
      </c>
      <c r="AT22" s="25"/>
    </row>
    <row r="23" spans="2:46">
      <c r="B23" s="11">
        <v>44676</v>
      </c>
      <c r="C23" s="20">
        <v>76.59</v>
      </c>
      <c r="D23" s="21">
        <v>156.5</v>
      </c>
      <c r="E23" s="22">
        <f t="shared" si="0"/>
        <v>93972.232202380954</v>
      </c>
      <c r="F23" s="23">
        <v>138.80000000000001</v>
      </c>
      <c r="G23" s="22">
        <f t="shared" si="1"/>
        <v>83344.062809523821</v>
      </c>
      <c r="H23" s="20">
        <v>97000</v>
      </c>
      <c r="I23" s="24">
        <f t="shared" si="3"/>
        <v>272.76306169506779</v>
      </c>
      <c r="J23" s="20"/>
      <c r="K23" s="24">
        <f t="shared" si="4"/>
        <v>0</v>
      </c>
      <c r="L23" s="20">
        <v>98000</v>
      </c>
      <c r="M23" s="24">
        <f t="shared" si="5"/>
        <v>275.57505202182102</v>
      </c>
      <c r="N23" s="20">
        <v>112000</v>
      </c>
      <c r="O23" s="24">
        <f t="shared" si="6"/>
        <v>314.9429165963669</v>
      </c>
      <c r="P23" s="22">
        <v>14000</v>
      </c>
      <c r="Q23" s="24">
        <f t="shared" si="7"/>
        <v>39.367864574545862</v>
      </c>
      <c r="R23" s="22">
        <v>6000</v>
      </c>
      <c r="S23" s="24">
        <f t="shared" si="8"/>
        <v>16.871941960519656</v>
      </c>
      <c r="T23" s="22">
        <v>1100</v>
      </c>
      <c r="U23" s="24">
        <f t="shared" si="9"/>
        <v>3.0931893594286035</v>
      </c>
      <c r="V23" s="23">
        <v>166</v>
      </c>
      <c r="W23" s="22">
        <f t="shared" si="2"/>
        <v>99676.616904761919</v>
      </c>
      <c r="X23" s="24">
        <f t="shared" si="10"/>
        <v>280.28968253968259</v>
      </c>
      <c r="Y23" s="23"/>
      <c r="Z23" s="22"/>
      <c r="AA23" s="24">
        <f t="shared" si="11"/>
        <v>0</v>
      </c>
      <c r="AB23" s="20"/>
      <c r="AC23" s="22"/>
      <c r="AD23" s="24">
        <f t="shared" si="12"/>
        <v>0</v>
      </c>
      <c r="AE23" s="22"/>
      <c r="AF23" s="22"/>
      <c r="AG23" s="22">
        <v>37</v>
      </c>
      <c r="AH23" s="22">
        <v>111</v>
      </c>
      <c r="AI23" s="22">
        <v>124</v>
      </c>
      <c r="AJ23" s="22">
        <v>180</v>
      </c>
      <c r="AK23" s="22">
        <v>130</v>
      </c>
      <c r="AL23" s="22">
        <v>30</v>
      </c>
      <c r="AM23" s="22">
        <v>4.5</v>
      </c>
      <c r="AN23" s="25">
        <v>93.1</v>
      </c>
      <c r="AO23" s="25">
        <v>63.1</v>
      </c>
      <c r="AP23" s="26">
        <v>101.52</v>
      </c>
      <c r="AQ23" s="25">
        <v>121</v>
      </c>
      <c r="AR23" s="25">
        <v>123</v>
      </c>
      <c r="AS23" s="25">
        <v>125</v>
      </c>
      <c r="AT23" s="25"/>
    </row>
    <row r="24" spans="2:46">
      <c r="B24" s="11">
        <v>44683</v>
      </c>
      <c r="C24" s="20">
        <v>76.45</v>
      </c>
      <c r="D24" s="21">
        <v>159.05000000000001</v>
      </c>
      <c r="E24" s="22">
        <f t="shared" si="0"/>
        <v>95328.837046957691</v>
      </c>
      <c r="F24" s="23">
        <v>152.33000000000001</v>
      </c>
      <c r="G24" s="22">
        <f t="shared" si="1"/>
        <v>91301.111269179906</v>
      </c>
      <c r="H24" s="20">
        <v>97500</v>
      </c>
      <c r="I24" s="24">
        <f t="shared" si="3"/>
        <v>274.16905685844438</v>
      </c>
      <c r="J24" s="20"/>
      <c r="K24" s="24">
        <f t="shared" si="4"/>
        <v>0</v>
      </c>
      <c r="L24" s="20">
        <v>99500</v>
      </c>
      <c r="M24" s="24">
        <f t="shared" si="5"/>
        <v>279.79303751195096</v>
      </c>
      <c r="N24" s="20">
        <v>116000</v>
      </c>
      <c r="O24" s="24">
        <f t="shared" si="6"/>
        <v>326.19087790338</v>
      </c>
      <c r="P24" s="22">
        <v>16000</v>
      </c>
      <c r="Q24" s="24">
        <f t="shared" si="7"/>
        <v>44.991845228052412</v>
      </c>
      <c r="R24" s="22">
        <v>6000</v>
      </c>
      <c r="S24" s="24">
        <f t="shared" si="8"/>
        <v>16.871941960519656</v>
      </c>
      <c r="T24" s="22">
        <v>1100</v>
      </c>
      <c r="U24" s="24">
        <f t="shared" si="9"/>
        <v>3.0931893594286035</v>
      </c>
      <c r="V24" s="23">
        <v>178.7</v>
      </c>
      <c r="W24" s="22">
        <f t="shared" si="2"/>
        <v>107106.33876322751</v>
      </c>
      <c r="X24" s="24">
        <f t="shared" si="10"/>
        <v>301.18198853615519</v>
      </c>
      <c r="Y24" s="23"/>
      <c r="Z24" s="22"/>
      <c r="AA24" s="24">
        <f t="shared" si="11"/>
        <v>0</v>
      </c>
      <c r="AB24" s="20"/>
      <c r="AC24" s="22"/>
      <c r="AD24" s="24">
        <f t="shared" si="12"/>
        <v>0</v>
      </c>
      <c r="AE24" s="22"/>
      <c r="AF24" s="22"/>
      <c r="AG24" s="22">
        <v>41</v>
      </c>
      <c r="AH24" s="22">
        <v>115</v>
      </c>
      <c r="AI24" s="22">
        <v>127</v>
      </c>
      <c r="AJ24" s="22">
        <v>220</v>
      </c>
      <c r="AK24" s="22">
        <v>135</v>
      </c>
      <c r="AL24" s="22">
        <v>30</v>
      </c>
      <c r="AM24" s="22">
        <v>4.5</v>
      </c>
      <c r="AN24" s="25">
        <v>93.1</v>
      </c>
      <c r="AO24" s="25">
        <v>63.1</v>
      </c>
      <c r="AP24" s="26">
        <v>101.52</v>
      </c>
      <c r="AQ24" s="25">
        <v>121</v>
      </c>
      <c r="AR24" s="25">
        <v>123</v>
      </c>
      <c r="AS24" s="25">
        <v>125</v>
      </c>
      <c r="AT24" s="25"/>
    </row>
    <row r="25" spans="2:46">
      <c r="B25" s="11">
        <v>44690</v>
      </c>
      <c r="C25" s="20">
        <v>77.72</v>
      </c>
      <c r="D25" s="21">
        <v>143.31</v>
      </c>
      <c r="E25" s="22">
        <f t="shared" si="0"/>
        <v>87321.747773015872</v>
      </c>
      <c r="F25" s="23">
        <v>162</v>
      </c>
      <c r="G25" s="22">
        <f t="shared" si="1"/>
        <v>98709.951428571439</v>
      </c>
      <c r="H25" s="20">
        <v>99000</v>
      </c>
      <c r="I25" s="24">
        <f t="shared" si="3"/>
        <v>278.38704234857431</v>
      </c>
      <c r="J25" s="20"/>
      <c r="K25" s="24">
        <f t="shared" si="4"/>
        <v>0</v>
      </c>
      <c r="L25" s="20">
        <v>102000</v>
      </c>
      <c r="M25" s="24">
        <f t="shared" si="5"/>
        <v>286.82301332883412</v>
      </c>
      <c r="N25" s="20">
        <v>116000</v>
      </c>
      <c r="O25" s="24">
        <f t="shared" si="6"/>
        <v>326.19087790338</v>
      </c>
      <c r="P25" s="22">
        <v>16000</v>
      </c>
      <c r="Q25" s="24">
        <f t="shared" si="7"/>
        <v>44.991845228052412</v>
      </c>
      <c r="R25" s="22">
        <v>6000</v>
      </c>
      <c r="S25" s="24">
        <f t="shared" si="8"/>
        <v>16.871941960519656</v>
      </c>
      <c r="T25" s="22">
        <v>1100</v>
      </c>
      <c r="U25" s="24">
        <f t="shared" si="9"/>
        <v>3.0931893594286035</v>
      </c>
      <c r="V25" s="23">
        <v>176.7</v>
      </c>
      <c r="W25" s="22">
        <f t="shared" si="2"/>
        <v>107666.96553968254</v>
      </c>
      <c r="X25" s="24">
        <f t="shared" si="10"/>
        <v>302.7584656084656</v>
      </c>
      <c r="Y25" s="23"/>
      <c r="Z25" s="22"/>
      <c r="AA25" s="24">
        <f t="shared" si="11"/>
        <v>0</v>
      </c>
      <c r="AB25" s="20"/>
      <c r="AC25" s="22"/>
      <c r="AD25" s="24">
        <f t="shared" si="12"/>
        <v>0</v>
      </c>
      <c r="AE25" s="22"/>
      <c r="AF25" s="22"/>
      <c r="AG25" s="22">
        <v>45</v>
      </c>
      <c r="AH25" s="22">
        <v>115</v>
      </c>
      <c r="AI25" s="22">
        <v>135</v>
      </c>
      <c r="AJ25" s="22">
        <v>238</v>
      </c>
      <c r="AK25" s="22">
        <v>158</v>
      </c>
      <c r="AL25" s="22">
        <v>36</v>
      </c>
      <c r="AM25" s="22">
        <v>4.5</v>
      </c>
      <c r="AN25" s="25">
        <v>92.4</v>
      </c>
      <c r="AO25" s="25">
        <v>61.3</v>
      </c>
      <c r="AP25" s="26">
        <v>100.31</v>
      </c>
      <c r="AQ25" s="25">
        <v>123.5</v>
      </c>
      <c r="AR25" s="25">
        <v>125.5</v>
      </c>
      <c r="AS25" s="25">
        <v>121.5</v>
      </c>
      <c r="AT25" s="25"/>
    </row>
    <row r="26" spans="2:46">
      <c r="B26" s="11">
        <v>44697</v>
      </c>
      <c r="C26" s="20">
        <v>77.72</v>
      </c>
      <c r="D26" s="21">
        <v>143.31</v>
      </c>
      <c r="E26" s="22">
        <f t="shared" si="0"/>
        <v>87321.747773015872</v>
      </c>
      <c r="F26" s="23">
        <v>162</v>
      </c>
      <c r="G26" s="22">
        <f t="shared" si="1"/>
        <v>98709.951428571439</v>
      </c>
      <c r="H26" s="20">
        <v>107000</v>
      </c>
      <c r="I26" s="24">
        <f t="shared" si="3"/>
        <v>300.88296496260051</v>
      </c>
      <c r="J26" s="20"/>
      <c r="K26" s="24">
        <f t="shared" si="4"/>
        <v>0</v>
      </c>
      <c r="L26" s="20">
        <v>109000</v>
      </c>
      <c r="M26" s="24">
        <f t="shared" si="5"/>
        <v>306.50694561610709</v>
      </c>
      <c r="N26" s="20">
        <v>117000</v>
      </c>
      <c r="O26" s="24">
        <f t="shared" si="6"/>
        <v>329.00286823013329</v>
      </c>
      <c r="P26" s="22">
        <v>16000</v>
      </c>
      <c r="Q26" s="24">
        <f t="shared" si="7"/>
        <v>44.991845228052412</v>
      </c>
      <c r="R26" s="22">
        <v>6000</v>
      </c>
      <c r="S26" s="24">
        <f t="shared" si="8"/>
        <v>16.871941960519656</v>
      </c>
      <c r="T26" s="22">
        <v>1100</v>
      </c>
      <c r="U26" s="24">
        <f t="shared" si="9"/>
        <v>3.0931893594286035</v>
      </c>
      <c r="V26" s="23">
        <v>178.2</v>
      </c>
      <c r="W26" s="22">
        <f t="shared" si="2"/>
        <v>108580.94657142855</v>
      </c>
      <c r="X26" s="24">
        <f t="shared" si="10"/>
        <v>305.32857142857137</v>
      </c>
      <c r="Y26" s="23"/>
      <c r="Z26" s="22"/>
      <c r="AA26" s="24">
        <f t="shared" si="11"/>
        <v>0</v>
      </c>
      <c r="AB26" s="20"/>
      <c r="AC26" s="22"/>
      <c r="AD26" s="24">
        <f t="shared" si="12"/>
        <v>0</v>
      </c>
      <c r="AE26" s="22"/>
      <c r="AF26" s="22"/>
      <c r="AG26" s="22">
        <v>45</v>
      </c>
      <c r="AH26" s="22">
        <v>115</v>
      </c>
      <c r="AI26" s="22">
        <v>150</v>
      </c>
      <c r="AJ26" s="22">
        <v>238</v>
      </c>
      <c r="AK26" s="22">
        <v>158</v>
      </c>
      <c r="AL26" s="22">
        <v>36</v>
      </c>
      <c r="AM26" s="22">
        <v>4.5</v>
      </c>
      <c r="AN26" s="25">
        <v>92.4</v>
      </c>
      <c r="AO26" s="25">
        <v>61.3</v>
      </c>
      <c r="AP26" s="26">
        <v>100.31</v>
      </c>
      <c r="AQ26" s="25">
        <v>123.5</v>
      </c>
      <c r="AR26" s="25">
        <v>125.5</v>
      </c>
      <c r="AS26" s="25">
        <v>121.5</v>
      </c>
      <c r="AT26" s="25"/>
    </row>
    <row r="27" spans="2:46">
      <c r="B27" s="11">
        <v>44704</v>
      </c>
      <c r="C27" s="20">
        <v>77.53</v>
      </c>
      <c r="D27" s="21">
        <v>166.2</v>
      </c>
      <c r="E27" s="22">
        <f t="shared" si="0"/>
        <v>101021.52846825396</v>
      </c>
      <c r="F27" s="23">
        <v>145.88</v>
      </c>
      <c r="G27" s="22">
        <f t="shared" si="1"/>
        <v>88670.400559259258</v>
      </c>
      <c r="H27" s="20">
        <v>104000</v>
      </c>
      <c r="I27" s="24">
        <f t="shared" si="3"/>
        <v>292.4469939823407</v>
      </c>
      <c r="J27" s="20"/>
      <c r="K27" s="24">
        <f t="shared" si="4"/>
        <v>0</v>
      </c>
      <c r="L27" s="20">
        <v>107000</v>
      </c>
      <c r="M27" s="24">
        <f t="shared" si="5"/>
        <v>300.88296496260051</v>
      </c>
      <c r="N27" s="20">
        <v>118000</v>
      </c>
      <c r="O27" s="24">
        <f t="shared" si="6"/>
        <v>331.81485855688658</v>
      </c>
      <c r="P27" s="22">
        <v>16000</v>
      </c>
      <c r="Q27" s="24">
        <f t="shared" si="7"/>
        <v>44.991845228052412</v>
      </c>
      <c r="R27" s="22">
        <v>6000</v>
      </c>
      <c r="S27" s="24">
        <f t="shared" si="8"/>
        <v>16.871941960519656</v>
      </c>
      <c r="T27" s="22">
        <v>1100</v>
      </c>
      <c r="U27" s="24">
        <f t="shared" si="9"/>
        <v>3.0931893594286035</v>
      </c>
      <c r="V27" s="23">
        <v>172</v>
      </c>
      <c r="W27" s="22">
        <f t="shared" si="2"/>
        <v>104546.94883597884</v>
      </c>
      <c r="X27" s="24">
        <f t="shared" si="10"/>
        <v>293.98500881834218</v>
      </c>
      <c r="Y27" s="23"/>
      <c r="Z27" s="22"/>
      <c r="AA27" s="24">
        <f t="shared" si="11"/>
        <v>0</v>
      </c>
      <c r="AB27" s="20"/>
      <c r="AC27" s="22"/>
      <c r="AD27" s="24">
        <f t="shared" si="12"/>
        <v>0</v>
      </c>
      <c r="AE27" s="22"/>
      <c r="AF27" s="22"/>
      <c r="AG27" s="22">
        <v>42</v>
      </c>
      <c r="AH27" s="22">
        <v>125</v>
      </c>
      <c r="AI27" s="22">
        <v>165</v>
      </c>
      <c r="AJ27" s="22">
        <v>250</v>
      </c>
      <c r="AK27" s="22">
        <v>158</v>
      </c>
      <c r="AL27" s="22">
        <v>36</v>
      </c>
      <c r="AM27" s="22">
        <v>4.5</v>
      </c>
      <c r="AN27" s="25">
        <v>97.4</v>
      </c>
      <c r="AO27" s="25">
        <v>61.5</v>
      </c>
      <c r="AP27" s="26">
        <v>104.67</v>
      </c>
      <c r="AQ27" s="25">
        <v>124</v>
      </c>
      <c r="AR27" s="25">
        <v>126</v>
      </c>
      <c r="AS27" s="25">
        <v>122</v>
      </c>
      <c r="AT27" s="25"/>
    </row>
    <row r="28" spans="2:46">
      <c r="B28" s="11">
        <v>44711</v>
      </c>
      <c r="C28" s="20">
        <v>77.569999999999993</v>
      </c>
      <c r="D28" s="21">
        <v>158.69999999999999</v>
      </c>
      <c r="E28" s="22">
        <f t="shared" si="0"/>
        <v>96512.563218253956</v>
      </c>
      <c r="F28" s="23">
        <v>139.41999999999999</v>
      </c>
      <c r="G28" s="22">
        <f t="shared" si="1"/>
        <v>84787.533483862411</v>
      </c>
      <c r="H28" s="20">
        <v>102000</v>
      </c>
      <c r="I28" s="24">
        <f t="shared" si="3"/>
        <v>286.82301332883412</v>
      </c>
      <c r="J28" s="20"/>
      <c r="K28" s="24">
        <f t="shared" si="4"/>
        <v>0</v>
      </c>
      <c r="L28" s="20">
        <v>105000</v>
      </c>
      <c r="M28" s="24">
        <f t="shared" si="5"/>
        <v>295.25898430909399</v>
      </c>
      <c r="N28" s="20">
        <v>116000</v>
      </c>
      <c r="O28" s="24">
        <f t="shared" si="6"/>
        <v>326.19087790338</v>
      </c>
      <c r="P28" s="22">
        <v>16000</v>
      </c>
      <c r="Q28" s="24">
        <f t="shared" si="7"/>
        <v>44.991845228052412</v>
      </c>
      <c r="R28" s="22">
        <v>6000</v>
      </c>
      <c r="S28" s="24">
        <f t="shared" si="8"/>
        <v>16.871941960519656</v>
      </c>
      <c r="T28" s="22">
        <v>1100</v>
      </c>
      <c r="U28" s="24">
        <f t="shared" si="9"/>
        <v>3.0931893594286035</v>
      </c>
      <c r="V28" s="23">
        <v>169</v>
      </c>
      <c r="W28" s="22">
        <f t="shared" si="2"/>
        <v>102776.45358465606</v>
      </c>
      <c r="X28" s="24">
        <f t="shared" si="10"/>
        <v>289.00639329805989</v>
      </c>
      <c r="Y28" s="23">
        <v>173</v>
      </c>
      <c r="Z28" s="22">
        <f>C28*$H$4*Y28/0.4536/100</f>
        <v>105209.03236772485</v>
      </c>
      <c r="AA28" s="24">
        <f t="shared" si="11"/>
        <v>295.84678130511458</v>
      </c>
      <c r="AB28" s="20">
        <v>168</v>
      </c>
      <c r="AC28" s="22">
        <f>C28*$H$4*AB28/0.4536/100</f>
        <v>102168.30888888886</v>
      </c>
      <c r="AD28" s="24">
        <f t="shared" si="12"/>
        <v>287.29629629629619</v>
      </c>
      <c r="AE28" s="22"/>
      <c r="AF28" s="22"/>
      <c r="AG28" s="22">
        <v>35</v>
      </c>
      <c r="AH28" s="22">
        <v>125</v>
      </c>
      <c r="AI28" s="22">
        <v>162</v>
      </c>
      <c r="AJ28" s="22">
        <v>250</v>
      </c>
      <c r="AK28" s="22">
        <v>158</v>
      </c>
      <c r="AL28" s="22">
        <v>30</v>
      </c>
      <c r="AM28" s="22">
        <v>4.5</v>
      </c>
      <c r="AN28" s="25">
        <v>97.4</v>
      </c>
      <c r="AO28" s="25">
        <v>61.5</v>
      </c>
      <c r="AP28" s="26">
        <v>104.67</v>
      </c>
      <c r="AQ28" s="25">
        <v>124</v>
      </c>
      <c r="AR28" s="25">
        <v>126</v>
      </c>
      <c r="AS28" s="25">
        <v>122</v>
      </c>
      <c r="AT28" s="25"/>
    </row>
    <row r="29" spans="2:46">
      <c r="B29" s="11">
        <v>44718</v>
      </c>
      <c r="C29" s="20">
        <v>77.58</v>
      </c>
      <c r="D29" s="21">
        <v>156.94999999999999</v>
      </c>
      <c r="E29" s="22">
        <f t="shared" si="0"/>
        <v>95460.61479761904</v>
      </c>
      <c r="F29" s="23">
        <v>138.97999999999999</v>
      </c>
      <c r="G29" s="22">
        <f t="shared" si="1"/>
        <v>84530.845776190472</v>
      </c>
      <c r="H29" s="20">
        <v>98000</v>
      </c>
      <c r="I29" s="24">
        <f t="shared" si="3"/>
        <v>275.57505202182102</v>
      </c>
      <c r="J29" s="20"/>
      <c r="K29" s="24">
        <f t="shared" si="4"/>
        <v>0</v>
      </c>
      <c r="L29" s="20">
        <v>101000</v>
      </c>
      <c r="M29" s="24">
        <f t="shared" si="5"/>
        <v>284.01102300208089</v>
      </c>
      <c r="N29" s="20">
        <v>116000</v>
      </c>
      <c r="O29" s="24">
        <f t="shared" si="6"/>
        <v>326.19087790338</v>
      </c>
      <c r="P29" s="22">
        <v>16000</v>
      </c>
      <c r="Q29" s="24">
        <f t="shared" si="7"/>
        <v>44.991845228052412</v>
      </c>
      <c r="R29" s="22">
        <v>6000</v>
      </c>
      <c r="S29" s="24">
        <f t="shared" si="8"/>
        <v>16.871941960519656</v>
      </c>
      <c r="T29" s="22">
        <v>1100</v>
      </c>
      <c r="U29" s="24">
        <f t="shared" si="9"/>
        <v>3.0931893594286035</v>
      </c>
      <c r="V29" s="23">
        <v>168</v>
      </c>
      <c r="W29" s="22">
        <f t="shared" si="2"/>
        <v>102181.47999999998</v>
      </c>
      <c r="X29" s="24">
        <f t="shared" si="10"/>
        <v>287.33333333333326</v>
      </c>
      <c r="Y29" s="23">
        <v>173</v>
      </c>
      <c r="Z29" s="22">
        <f>C29*$H$4*Y29/0.4536/100</f>
        <v>105222.59547619049</v>
      </c>
      <c r="AA29" s="24">
        <f t="shared" si="11"/>
        <v>295.88492063492066</v>
      </c>
      <c r="AB29" s="20">
        <v>165</v>
      </c>
      <c r="AC29" s="22">
        <f>C29*$H$4*AB29/0.4536/100</f>
        <v>100356.8107142857</v>
      </c>
      <c r="AD29" s="24">
        <f t="shared" si="12"/>
        <v>282.20238095238091</v>
      </c>
      <c r="AE29" s="22"/>
      <c r="AF29" s="22"/>
      <c r="AG29" s="22">
        <v>32</v>
      </c>
      <c r="AH29" s="22">
        <v>121</v>
      </c>
      <c r="AI29" s="22">
        <v>145</v>
      </c>
      <c r="AJ29" s="22">
        <v>250</v>
      </c>
      <c r="AK29" s="22">
        <v>158</v>
      </c>
      <c r="AL29" s="22">
        <v>30</v>
      </c>
      <c r="AM29" s="22">
        <v>4.5</v>
      </c>
      <c r="AN29" s="25">
        <v>97</v>
      </c>
      <c r="AO29" s="25">
        <v>61.9</v>
      </c>
      <c r="AP29" s="26">
        <v>104.47</v>
      </c>
      <c r="AQ29" s="25">
        <v>123</v>
      </c>
      <c r="AR29" s="25">
        <v>125</v>
      </c>
      <c r="AS29" s="25">
        <v>121</v>
      </c>
      <c r="AT29" s="25"/>
    </row>
    <row r="30" spans="2:46">
      <c r="B30" s="11">
        <v>44727</v>
      </c>
      <c r="C30" s="20">
        <v>78.05</v>
      </c>
      <c r="D30" s="21">
        <v>163.55000000000001</v>
      </c>
      <c r="E30" s="22">
        <f t="shared" si="0"/>
        <v>100077.53219907409</v>
      </c>
      <c r="F30" s="23">
        <v>143.4</v>
      </c>
      <c r="G30" s="22">
        <f t="shared" si="1"/>
        <v>87747.588611111118</v>
      </c>
      <c r="H30" s="20">
        <v>99000</v>
      </c>
      <c r="I30" s="24">
        <f t="shared" si="3"/>
        <v>278.38704234857431</v>
      </c>
      <c r="J30" s="20"/>
      <c r="K30" s="24">
        <f t="shared" si="4"/>
        <v>0</v>
      </c>
      <c r="L30" s="20">
        <v>103000</v>
      </c>
      <c r="M30" s="24">
        <f t="shared" si="5"/>
        <v>289.63500365558741</v>
      </c>
      <c r="N30" s="20">
        <v>118000</v>
      </c>
      <c r="O30" s="24">
        <f t="shared" si="6"/>
        <v>331.81485855688658</v>
      </c>
      <c r="P30" s="22">
        <v>16000</v>
      </c>
      <c r="Q30" s="24">
        <f t="shared" si="7"/>
        <v>44.991845228052412</v>
      </c>
      <c r="R30" s="22">
        <v>6000</v>
      </c>
      <c r="S30" s="24">
        <f t="shared" si="8"/>
        <v>16.871941960519656</v>
      </c>
      <c r="T30" s="22">
        <v>1100</v>
      </c>
      <c r="U30" s="24">
        <f t="shared" si="9"/>
        <v>3.0931893594286035</v>
      </c>
      <c r="V30" s="23">
        <v>171</v>
      </c>
      <c r="W30" s="22">
        <f t="shared" si="2"/>
        <v>104636.24583333332</v>
      </c>
      <c r="X30" s="24">
        <f t="shared" si="10"/>
        <v>294.23611111111109</v>
      </c>
      <c r="Y30" s="23" t="s">
        <v>49</v>
      </c>
      <c r="Z30" s="22" t="s">
        <v>49</v>
      </c>
      <c r="AA30" s="24" t="e">
        <f t="shared" si="11"/>
        <v>#VALUE!</v>
      </c>
      <c r="AB30" s="20">
        <v>168</v>
      </c>
      <c r="AC30" s="22">
        <f>C30*$H$4*AB30/0.4536/100</f>
        <v>102800.52222222222</v>
      </c>
      <c r="AD30" s="24">
        <f t="shared" si="12"/>
        <v>289.07407407407408</v>
      </c>
      <c r="AE30" s="22"/>
      <c r="AF30" s="22"/>
      <c r="AG30" s="22">
        <v>32</v>
      </c>
      <c r="AH30" s="22">
        <v>116</v>
      </c>
      <c r="AI30" s="22">
        <v>142</v>
      </c>
      <c r="AJ30" s="22">
        <v>248</v>
      </c>
      <c r="AK30" s="22">
        <v>158</v>
      </c>
      <c r="AL30" s="22">
        <v>35</v>
      </c>
      <c r="AM30" s="22">
        <v>5</v>
      </c>
      <c r="AN30" s="25">
        <v>104.5</v>
      </c>
      <c r="AO30" s="25">
        <v>63.6</v>
      </c>
      <c r="AP30" s="26">
        <v>111.5</v>
      </c>
      <c r="AQ30" s="25">
        <v>124</v>
      </c>
      <c r="AR30" s="25">
        <v>126</v>
      </c>
      <c r="AS30" s="25">
        <v>128</v>
      </c>
      <c r="AT30" s="25"/>
    </row>
    <row r="31" spans="2:46">
      <c r="B31" s="11">
        <v>44732</v>
      </c>
      <c r="C31" s="20">
        <v>78.069999999999993</v>
      </c>
      <c r="D31" s="21">
        <v>161.30000000000001</v>
      </c>
      <c r="E31" s="22">
        <f t="shared" si="0"/>
        <v>98726.031160052909</v>
      </c>
      <c r="F31" s="23">
        <v>143.55000000000001</v>
      </c>
      <c r="G31" s="22">
        <f t="shared" si="1"/>
        <v>87861.883279761911</v>
      </c>
      <c r="H31" s="20">
        <v>99000</v>
      </c>
      <c r="I31" s="24">
        <f t="shared" si="3"/>
        <v>278.38704234857431</v>
      </c>
      <c r="J31" s="20"/>
      <c r="K31" s="24">
        <f t="shared" si="4"/>
        <v>0</v>
      </c>
      <c r="L31" s="20">
        <v>103000</v>
      </c>
      <c r="M31" s="24">
        <f t="shared" si="5"/>
        <v>289.63500365558741</v>
      </c>
      <c r="N31" s="20">
        <v>114000</v>
      </c>
      <c r="O31" s="24">
        <f t="shared" si="6"/>
        <v>320.56689724987348</v>
      </c>
      <c r="P31" s="22">
        <v>16000</v>
      </c>
      <c r="Q31" s="24">
        <f t="shared" si="7"/>
        <v>44.991845228052412</v>
      </c>
      <c r="R31" s="22">
        <v>6000</v>
      </c>
      <c r="S31" s="24">
        <f t="shared" si="8"/>
        <v>16.871941960519656</v>
      </c>
      <c r="T31" s="22">
        <v>1100</v>
      </c>
      <c r="U31" s="24">
        <f t="shared" si="9"/>
        <v>3.0931893594286035</v>
      </c>
      <c r="V31" s="23">
        <v>170</v>
      </c>
      <c r="W31" s="22">
        <f t="shared" si="2"/>
        <v>104050.99378306877</v>
      </c>
      <c r="X31" s="24">
        <f t="shared" si="10"/>
        <v>292.59038800705463</v>
      </c>
      <c r="Y31" s="23" t="s">
        <v>49</v>
      </c>
      <c r="Z31" s="22" t="s">
        <v>49</v>
      </c>
      <c r="AA31" s="24" t="e">
        <f t="shared" si="11"/>
        <v>#VALUE!</v>
      </c>
      <c r="AB31" s="20">
        <v>170</v>
      </c>
      <c r="AC31" s="22">
        <f>C31*$H$4*AB31/0.4536/100</f>
        <v>104050.99378306877</v>
      </c>
      <c r="AD31" s="24">
        <f t="shared" si="12"/>
        <v>292.59038800705463</v>
      </c>
      <c r="AE31" s="22"/>
      <c r="AF31" s="22"/>
      <c r="AG31" s="22">
        <v>32</v>
      </c>
      <c r="AH31" s="22">
        <v>116</v>
      </c>
      <c r="AI31" s="22">
        <v>140</v>
      </c>
      <c r="AJ31" s="22">
        <v>248</v>
      </c>
      <c r="AK31" s="22">
        <v>158</v>
      </c>
      <c r="AL31" s="22">
        <v>35</v>
      </c>
      <c r="AM31" s="22">
        <v>5</v>
      </c>
      <c r="AN31" s="25">
        <v>104.5</v>
      </c>
      <c r="AO31" s="25">
        <v>63.6</v>
      </c>
      <c r="AP31" s="26">
        <v>111.5</v>
      </c>
      <c r="AQ31" s="25">
        <v>124</v>
      </c>
      <c r="AR31" s="25">
        <v>126</v>
      </c>
      <c r="AS31" s="25">
        <v>128</v>
      </c>
      <c r="AT31" s="25"/>
    </row>
    <row r="32" spans="2:46">
      <c r="B32" s="11">
        <v>44739</v>
      </c>
      <c r="C32" s="20">
        <v>78.3</v>
      </c>
      <c r="D32" s="21">
        <v>144.30000000000001</v>
      </c>
      <c r="E32" s="22">
        <f t="shared" si="0"/>
        <v>88581.131785714286</v>
      </c>
      <c r="F32" s="23">
        <v>103.76</v>
      </c>
      <c r="G32" s="22">
        <f t="shared" si="1"/>
        <v>63694.928857142848</v>
      </c>
      <c r="H32" s="20">
        <v>94000</v>
      </c>
      <c r="I32" s="24">
        <f t="shared" si="3"/>
        <v>264.32709071480792</v>
      </c>
      <c r="J32" s="20"/>
      <c r="K32" s="24">
        <f t="shared" si="4"/>
        <v>0</v>
      </c>
      <c r="L32" s="20">
        <v>97000</v>
      </c>
      <c r="M32" s="24">
        <f t="shared" si="5"/>
        <v>272.76306169506779</v>
      </c>
      <c r="N32" s="20">
        <v>108000</v>
      </c>
      <c r="O32" s="24">
        <f t="shared" si="6"/>
        <v>303.6949552893538</v>
      </c>
      <c r="P32" s="22">
        <v>15000</v>
      </c>
      <c r="Q32" s="24">
        <f t="shared" si="7"/>
        <v>42.179854901299137</v>
      </c>
      <c r="R32" s="22">
        <v>6000</v>
      </c>
      <c r="S32" s="24">
        <f t="shared" si="8"/>
        <v>16.871941960519656</v>
      </c>
      <c r="T32" s="22">
        <v>1100</v>
      </c>
      <c r="U32" s="24">
        <f t="shared" si="9"/>
        <v>3.0931893594286035</v>
      </c>
      <c r="V32" s="23">
        <v>145</v>
      </c>
      <c r="W32" s="22">
        <f t="shared" si="2"/>
        <v>89010.83928571429</v>
      </c>
      <c r="X32" s="24">
        <f t="shared" si="10"/>
        <v>250.29761904761907</v>
      </c>
      <c r="Y32" s="23" t="s">
        <v>49</v>
      </c>
      <c r="Z32" s="22" t="s">
        <v>49</v>
      </c>
      <c r="AA32" s="24" t="e">
        <f t="shared" si="11"/>
        <v>#VALUE!</v>
      </c>
      <c r="AB32" s="20" t="s">
        <v>49</v>
      </c>
      <c r="AC32" s="22" t="s">
        <v>49</v>
      </c>
      <c r="AD32" s="24" t="e">
        <f t="shared" si="12"/>
        <v>#VALUE!</v>
      </c>
      <c r="AE32" s="22"/>
      <c r="AF32" s="22"/>
      <c r="AG32" s="22">
        <v>28</v>
      </c>
      <c r="AH32" s="22">
        <v>100</v>
      </c>
      <c r="AI32" s="22">
        <v>120</v>
      </c>
      <c r="AJ32" s="22">
        <v>210</v>
      </c>
      <c r="AK32" s="22">
        <v>134</v>
      </c>
      <c r="AL32" s="22">
        <v>30</v>
      </c>
      <c r="AM32" s="22">
        <v>4.5</v>
      </c>
      <c r="AN32" s="25">
        <v>96.8</v>
      </c>
      <c r="AO32" s="25" t="s">
        <v>50</v>
      </c>
      <c r="AP32" s="26">
        <v>103.14</v>
      </c>
      <c r="AQ32" s="25">
        <v>121</v>
      </c>
      <c r="AR32" s="25">
        <v>123</v>
      </c>
      <c r="AS32" s="25">
        <v>125</v>
      </c>
      <c r="AT32" s="25"/>
    </row>
    <row r="33" spans="2:46">
      <c r="B33" s="11">
        <v>44746</v>
      </c>
      <c r="C33" s="20">
        <v>79.010000000000005</v>
      </c>
      <c r="D33" s="21">
        <v>139.30000000000001</v>
      </c>
      <c r="E33" s="22">
        <f t="shared" si="0"/>
        <v>86287.186787037048</v>
      </c>
      <c r="F33" s="23">
        <v>103.76</v>
      </c>
      <c r="G33" s="22">
        <f t="shared" si="1"/>
        <v>64272.494623280436</v>
      </c>
      <c r="H33" s="20">
        <v>92000</v>
      </c>
      <c r="I33" s="24">
        <f t="shared" si="3"/>
        <v>258.7031100613014</v>
      </c>
      <c r="J33" s="20"/>
      <c r="K33" s="24">
        <f t="shared" si="4"/>
        <v>0</v>
      </c>
      <c r="L33" s="20">
        <v>93000</v>
      </c>
      <c r="M33" s="24">
        <f t="shared" si="5"/>
        <v>261.51510038805463</v>
      </c>
      <c r="N33" s="20">
        <v>108000</v>
      </c>
      <c r="O33" s="24">
        <f t="shared" si="6"/>
        <v>303.6949552893538</v>
      </c>
      <c r="P33" s="22">
        <v>15000</v>
      </c>
      <c r="Q33" s="24">
        <f t="shared" si="7"/>
        <v>42.179854901299137</v>
      </c>
      <c r="R33" s="22">
        <v>6000</v>
      </c>
      <c r="S33" s="24">
        <f t="shared" si="8"/>
        <v>16.871941960519656</v>
      </c>
      <c r="T33" s="22">
        <v>1100</v>
      </c>
      <c r="U33" s="24">
        <f t="shared" si="9"/>
        <v>3.0931893594286035</v>
      </c>
      <c r="V33" s="23">
        <v>142</v>
      </c>
      <c r="W33" s="22">
        <f t="shared" si="2"/>
        <v>87959.659179894181</v>
      </c>
      <c r="X33" s="24">
        <f t="shared" si="10"/>
        <v>247.34171075837742</v>
      </c>
      <c r="Y33" s="23">
        <v>147</v>
      </c>
      <c r="Z33" s="22">
        <f t="shared" ref="Z33:Z96" si="13">C33*$H$4*Y33/0.4536/100</f>
        <v>91056.830277777786</v>
      </c>
      <c r="AA33" s="24">
        <f t="shared" si="11"/>
        <v>256.05092592592592</v>
      </c>
      <c r="AB33" s="20">
        <v>139</v>
      </c>
      <c r="AC33" s="22">
        <f t="shared" ref="AC33:AC96" si="14">C33*$H$4*AB33/0.4536/100</f>
        <v>86101.356521164023</v>
      </c>
      <c r="AD33" s="24">
        <f t="shared" si="12"/>
        <v>242.11618165784833</v>
      </c>
      <c r="AE33" s="22"/>
      <c r="AF33" s="22"/>
      <c r="AG33" s="22">
        <v>28</v>
      </c>
      <c r="AH33" s="22">
        <v>102</v>
      </c>
      <c r="AI33" s="22">
        <v>120</v>
      </c>
      <c r="AJ33" s="22">
        <v>225</v>
      </c>
      <c r="AK33" s="22">
        <v>133</v>
      </c>
      <c r="AL33" s="22">
        <v>28</v>
      </c>
      <c r="AM33" s="22">
        <v>5</v>
      </c>
      <c r="AN33" s="25">
        <v>95.6</v>
      </c>
      <c r="AO33" s="25">
        <v>56.8</v>
      </c>
      <c r="AP33" s="26">
        <v>101.53</v>
      </c>
      <c r="AQ33" s="25">
        <v>119</v>
      </c>
      <c r="AR33" s="25">
        <v>121</v>
      </c>
      <c r="AS33" s="25">
        <v>123</v>
      </c>
      <c r="AT33" s="25"/>
    </row>
    <row r="34" spans="2:46">
      <c r="B34" s="11">
        <v>44753</v>
      </c>
      <c r="C34" s="20">
        <v>79.41</v>
      </c>
      <c r="D34" s="21">
        <v>129</v>
      </c>
      <c r="E34" s="22">
        <f t="shared" si="0"/>
        <v>80311.555595238082</v>
      </c>
      <c r="F34" s="23" t="s">
        <v>49</v>
      </c>
      <c r="G34" s="22" t="s">
        <v>49</v>
      </c>
      <c r="H34" s="20">
        <v>85000</v>
      </c>
      <c r="I34" s="24">
        <f t="shared" si="3"/>
        <v>239.01917777402846</v>
      </c>
      <c r="J34" s="20"/>
      <c r="K34" s="24">
        <f t="shared" si="4"/>
        <v>0</v>
      </c>
      <c r="L34" s="20">
        <v>87000</v>
      </c>
      <c r="M34" s="24">
        <f t="shared" si="5"/>
        <v>244.64315842753501</v>
      </c>
      <c r="N34" s="20">
        <v>100000</v>
      </c>
      <c r="O34" s="24">
        <f t="shared" si="6"/>
        <v>281.1990326753276</v>
      </c>
      <c r="P34" s="22">
        <v>15000</v>
      </c>
      <c r="Q34" s="24">
        <f t="shared" si="7"/>
        <v>42.179854901299137</v>
      </c>
      <c r="R34" s="22">
        <v>8000</v>
      </c>
      <c r="S34" s="24">
        <f t="shared" si="8"/>
        <v>22.495922614026206</v>
      </c>
      <c r="T34" s="22">
        <v>1100</v>
      </c>
      <c r="U34" s="24">
        <f t="shared" si="9"/>
        <v>3.0931893594286035</v>
      </c>
      <c r="V34" s="23">
        <v>136</v>
      </c>
      <c r="W34" s="22">
        <f t="shared" si="2"/>
        <v>84669.546984126981</v>
      </c>
      <c r="X34" s="24">
        <f t="shared" si="10"/>
        <v>238.08994708994709</v>
      </c>
      <c r="Y34" s="23">
        <v>141</v>
      </c>
      <c r="Z34" s="22">
        <f t="shared" si="13"/>
        <v>87782.397976190463</v>
      </c>
      <c r="AA34" s="24">
        <f t="shared" si="11"/>
        <v>246.84325396825392</v>
      </c>
      <c r="AB34" s="20">
        <v>135</v>
      </c>
      <c r="AC34" s="22">
        <f t="shared" si="14"/>
        <v>84046.976785714272</v>
      </c>
      <c r="AD34" s="24">
        <f t="shared" si="12"/>
        <v>236.33928571428567</v>
      </c>
      <c r="AE34" s="22"/>
      <c r="AF34" s="22"/>
      <c r="AG34" s="22">
        <v>28</v>
      </c>
      <c r="AH34" s="22">
        <v>102</v>
      </c>
      <c r="AI34" s="22">
        <v>109</v>
      </c>
      <c r="AJ34" s="22">
        <v>225</v>
      </c>
      <c r="AK34" s="22">
        <v>133</v>
      </c>
      <c r="AL34" s="22">
        <v>28</v>
      </c>
      <c r="AM34" s="22">
        <v>5</v>
      </c>
      <c r="AN34" s="25">
        <v>94.79</v>
      </c>
      <c r="AO34" s="25">
        <v>56.8</v>
      </c>
      <c r="AP34" s="26">
        <v>100.75</v>
      </c>
      <c r="AQ34" s="25">
        <v>119</v>
      </c>
      <c r="AR34" s="25">
        <v>121</v>
      </c>
      <c r="AS34" s="25">
        <v>123</v>
      </c>
      <c r="AT34" s="25"/>
    </row>
    <row r="35" spans="2:46">
      <c r="B35" s="11">
        <v>44760</v>
      </c>
      <c r="C35" s="20">
        <v>79.930000000000007</v>
      </c>
      <c r="D35" s="21">
        <v>121.75</v>
      </c>
      <c r="E35" s="22">
        <f t="shared" si="0"/>
        <v>76294.268707010589</v>
      </c>
      <c r="F35" s="23" t="s">
        <v>49</v>
      </c>
      <c r="G35" s="22" t="s">
        <v>49</v>
      </c>
      <c r="H35" s="20">
        <v>83000</v>
      </c>
      <c r="I35" s="24">
        <f t="shared" si="3"/>
        <v>233.39519712052191</v>
      </c>
      <c r="J35" s="20"/>
      <c r="K35" s="24">
        <f t="shared" si="4"/>
        <v>0</v>
      </c>
      <c r="L35" s="20">
        <v>85000</v>
      </c>
      <c r="M35" s="24">
        <f t="shared" si="5"/>
        <v>239.01917777402846</v>
      </c>
      <c r="N35" s="20">
        <v>100000</v>
      </c>
      <c r="O35" s="24">
        <f t="shared" si="6"/>
        <v>281.1990326753276</v>
      </c>
      <c r="P35" s="22">
        <v>15000</v>
      </c>
      <c r="Q35" s="24">
        <f t="shared" si="7"/>
        <v>42.179854901299137</v>
      </c>
      <c r="R35" s="22">
        <v>6000</v>
      </c>
      <c r="S35" s="24">
        <f t="shared" si="8"/>
        <v>16.871941960519656</v>
      </c>
      <c r="T35" s="22">
        <v>1100</v>
      </c>
      <c r="U35" s="24">
        <f t="shared" si="9"/>
        <v>3.0931893594286035</v>
      </c>
      <c r="V35" s="23">
        <v>132</v>
      </c>
      <c r="W35" s="22">
        <f t="shared" si="2"/>
        <v>82717.400158730161</v>
      </c>
      <c r="X35" s="24">
        <f t="shared" si="10"/>
        <v>232.60052910052912</v>
      </c>
      <c r="Y35" s="23">
        <v>137</v>
      </c>
      <c r="Z35" s="22">
        <f t="shared" si="13"/>
        <v>85850.635013227526</v>
      </c>
      <c r="AA35" s="24">
        <f t="shared" si="11"/>
        <v>241.4111552028219</v>
      </c>
      <c r="AB35" s="20">
        <v>130</v>
      </c>
      <c r="AC35" s="22">
        <f t="shared" si="14"/>
        <v>81464.106216931206</v>
      </c>
      <c r="AD35" s="24">
        <f t="shared" si="12"/>
        <v>229.07627865961197</v>
      </c>
      <c r="AE35" s="22"/>
      <c r="AF35" s="22"/>
      <c r="AG35" s="22">
        <v>28</v>
      </c>
      <c r="AH35" s="22">
        <v>100</v>
      </c>
      <c r="AI35" s="22">
        <v>105</v>
      </c>
      <c r="AJ35" s="22">
        <v>225</v>
      </c>
      <c r="AK35" s="22">
        <v>130</v>
      </c>
      <c r="AL35" s="22">
        <v>28</v>
      </c>
      <c r="AM35" s="22">
        <v>5</v>
      </c>
      <c r="AN35" s="25">
        <v>85.3</v>
      </c>
      <c r="AO35" s="25">
        <v>55.1</v>
      </c>
      <c r="AP35" s="26">
        <v>92.09</v>
      </c>
      <c r="AQ35" s="25">
        <v>112</v>
      </c>
      <c r="AR35" s="25">
        <v>114</v>
      </c>
      <c r="AS35" s="25">
        <v>116</v>
      </c>
      <c r="AT35" s="25"/>
    </row>
    <row r="36" spans="2:46">
      <c r="B36" s="11">
        <v>44768</v>
      </c>
      <c r="C36" s="20">
        <v>79.81</v>
      </c>
      <c r="D36" s="21">
        <v>128.30000000000001</v>
      </c>
      <c r="E36" s="22">
        <f t="shared" si="0"/>
        <v>80278.102541005297</v>
      </c>
      <c r="F36" s="23" t="s">
        <v>49</v>
      </c>
      <c r="G36" s="22" t="s">
        <v>49</v>
      </c>
      <c r="H36" s="20">
        <v>86000</v>
      </c>
      <c r="I36" s="24">
        <f t="shared" si="3"/>
        <v>241.83116810078172</v>
      </c>
      <c r="J36" s="20"/>
      <c r="K36" s="24">
        <f t="shared" si="4"/>
        <v>0</v>
      </c>
      <c r="L36" s="20">
        <v>87000</v>
      </c>
      <c r="M36" s="24">
        <f t="shared" si="5"/>
        <v>244.64315842753501</v>
      </c>
      <c r="N36" s="20">
        <v>99000</v>
      </c>
      <c r="O36" s="24">
        <f t="shared" si="6"/>
        <v>278.38704234857431</v>
      </c>
      <c r="P36" s="22">
        <v>12000</v>
      </c>
      <c r="Q36" s="24">
        <f t="shared" si="7"/>
        <v>33.743883921039313</v>
      </c>
      <c r="R36" s="22">
        <v>6000</v>
      </c>
      <c r="S36" s="24">
        <f t="shared" si="8"/>
        <v>16.871941960519656</v>
      </c>
      <c r="T36" s="22">
        <v>1000</v>
      </c>
      <c r="U36" s="24">
        <f t="shared" si="9"/>
        <v>2.8119903267532758</v>
      </c>
      <c r="V36" s="23">
        <v>126</v>
      </c>
      <c r="W36" s="22">
        <f t="shared" si="2"/>
        <v>78838.978333333333</v>
      </c>
      <c r="X36" s="24">
        <f t="shared" si="10"/>
        <v>221.69444444444443</v>
      </c>
      <c r="Y36" s="23">
        <v>131</v>
      </c>
      <c r="Z36" s="22">
        <f t="shared" si="13"/>
        <v>81967.509219576721</v>
      </c>
      <c r="AA36" s="24">
        <f t="shared" si="11"/>
        <v>230.4918430335097</v>
      </c>
      <c r="AB36" s="20">
        <v>125</v>
      </c>
      <c r="AC36" s="22">
        <f t="shared" si="14"/>
        <v>78213.272156084669</v>
      </c>
      <c r="AD36" s="24">
        <f t="shared" si="12"/>
        <v>219.93496472663142</v>
      </c>
      <c r="AE36" s="22"/>
      <c r="AF36" s="22"/>
      <c r="AG36" s="22">
        <v>25</v>
      </c>
      <c r="AH36" s="22">
        <v>92</v>
      </c>
      <c r="AI36" s="22">
        <v>100</v>
      </c>
      <c r="AJ36" s="22">
        <v>195</v>
      </c>
      <c r="AK36" s="22">
        <v>105</v>
      </c>
      <c r="AL36" s="22">
        <v>25</v>
      </c>
      <c r="AM36" s="22">
        <v>5</v>
      </c>
      <c r="AN36" s="25">
        <v>85.6</v>
      </c>
      <c r="AO36" s="25">
        <v>55.6</v>
      </c>
      <c r="AP36" s="26">
        <v>92.51</v>
      </c>
      <c r="AQ36" s="25">
        <v>117</v>
      </c>
      <c r="AR36" s="25">
        <v>119</v>
      </c>
      <c r="AS36" s="25">
        <v>121</v>
      </c>
      <c r="AT36" s="25"/>
    </row>
    <row r="37" spans="2:46">
      <c r="B37" s="11">
        <v>44774</v>
      </c>
      <c r="C37" s="20">
        <v>79.08</v>
      </c>
      <c r="D37" s="21">
        <v>131.4</v>
      </c>
      <c r="E37" s="22">
        <f t="shared" si="0"/>
        <v>81465.768285714279</v>
      </c>
      <c r="F37" s="23">
        <v>95.45</v>
      </c>
      <c r="G37" s="22">
        <f t="shared" ref="G37:G58" si="15">C37*$H$4*F37/0.4536/100</f>
        <v>59177.378865079358</v>
      </c>
      <c r="H37" s="20">
        <v>92000</v>
      </c>
      <c r="I37" s="24">
        <f t="shared" si="3"/>
        <v>258.7031100613014</v>
      </c>
      <c r="J37" s="20"/>
      <c r="K37" s="24">
        <f t="shared" si="4"/>
        <v>0</v>
      </c>
      <c r="L37" s="20">
        <v>93000</v>
      </c>
      <c r="M37" s="24">
        <f t="shared" si="5"/>
        <v>261.51510038805463</v>
      </c>
      <c r="N37" s="20">
        <v>102000</v>
      </c>
      <c r="O37" s="24">
        <f t="shared" si="6"/>
        <v>286.82301332883412</v>
      </c>
      <c r="P37" s="22">
        <v>12000</v>
      </c>
      <c r="Q37" s="24">
        <f t="shared" si="7"/>
        <v>33.743883921039313</v>
      </c>
      <c r="R37" s="22">
        <v>6000</v>
      </c>
      <c r="S37" s="24">
        <f t="shared" si="8"/>
        <v>16.871941960519656</v>
      </c>
      <c r="T37" s="22">
        <v>1000</v>
      </c>
      <c r="U37" s="24">
        <f t="shared" si="9"/>
        <v>2.8119903267532758</v>
      </c>
      <c r="V37" s="23">
        <v>139</v>
      </c>
      <c r="W37" s="22">
        <f t="shared" si="2"/>
        <v>86177.639206349195</v>
      </c>
      <c r="X37" s="24">
        <f t="shared" si="10"/>
        <v>242.33068783068779</v>
      </c>
      <c r="Y37" s="23">
        <v>144</v>
      </c>
      <c r="Z37" s="22">
        <f t="shared" si="13"/>
        <v>89277.554285714286</v>
      </c>
      <c r="AA37" s="24">
        <f t="shared" si="11"/>
        <v>251.04761904761904</v>
      </c>
      <c r="AB37" s="20">
        <v>138</v>
      </c>
      <c r="AC37" s="22">
        <f t="shared" si="14"/>
        <v>85557.656190476191</v>
      </c>
      <c r="AD37" s="24">
        <f t="shared" si="12"/>
        <v>240.5873015873016</v>
      </c>
      <c r="AE37" s="22"/>
      <c r="AF37" s="22"/>
      <c r="AG37" s="22">
        <v>28</v>
      </c>
      <c r="AH37" s="22">
        <v>92</v>
      </c>
      <c r="AI37" s="22">
        <v>110</v>
      </c>
      <c r="AJ37" s="22">
        <v>195</v>
      </c>
      <c r="AK37" s="22">
        <v>105</v>
      </c>
      <c r="AL37" s="22">
        <v>28</v>
      </c>
      <c r="AM37" s="22">
        <v>5</v>
      </c>
      <c r="AN37" s="25">
        <v>88.1</v>
      </c>
      <c r="AO37" s="25">
        <v>56</v>
      </c>
      <c r="AP37" s="26">
        <v>94.81</v>
      </c>
      <c r="AQ37" s="25">
        <v>117</v>
      </c>
      <c r="AR37" s="25">
        <v>119</v>
      </c>
      <c r="AS37" s="25">
        <v>121</v>
      </c>
      <c r="AT37" s="25"/>
    </row>
    <row r="38" spans="2:46">
      <c r="B38" s="11">
        <v>44781</v>
      </c>
      <c r="C38" s="20">
        <v>79.569999999999993</v>
      </c>
      <c r="D38" s="21">
        <v>113.1</v>
      </c>
      <c r="E38" s="22">
        <f t="shared" si="0"/>
        <v>70554.561123015868</v>
      </c>
      <c r="F38" s="23">
        <v>96.72</v>
      </c>
      <c r="G38" s="22">
        <f t="shared" si="15"/>
        <v>60336.314339682525</v>
      </c>
      <c r="H38" s="20">
        <v>95000</v>
      </c>
      <c r="I38" s="24">
        <f t="shared" si="3"/>
        <v>267.13908104156121</v>
      </c>
      <c r="J38" s="20"/>
      <c r="K38" s="24">
        <f t="shared" si="4"/>
        <v>0</v>
      </c>
      <c r="L38" s="20">
        <v>96000</v>
      </c>
      <c r="M38" s="24">
        <f t="shared" si="5"/>
        <v>269.9510713683145</v>
      </c>
      <c r="N38" s="20">
        <v>102000</v>
      </c>
      <c r="O38" s="24">
        <f t="shared" si="6"/>
        <v>286.82301332883412</v>
      </c>
      <c r="P38" s="22">
        <v>9000</v>
      </c>
      <c r="Q38" s="24">
        <f t="shared" si="7"/>
        <v>25.307912940779485</v>
      </c>
      <c r="R38" s="22">
        <v>6000</v>
      </c>
      <c r="S38" s="24">
        <f t="shared" si="8"/>
        <v>16.871941960519656</v>
      </c>
      <c r="T38" s="22">
        <v>900</v>
      </c>
      <c r="U38" s="24">
        <f t="shared" si="9"/>
        <v>2.5307912940779485</v>
      </c>
      <c r="V38" s="23">
        <v>136</v>
      </c>
      <c r="W38" s="22">
        <f t="shared" si="2"/>
        <v>84840.144232804218</v>
      </c>
      <c r="X38" s="24">
        <f t="shared" si="10"/>
        <v>238.5696649029982</v>
      </c>
      <c r="Y38" s="23">
        <v>141</v>
      </c>
      <c r="Z38" s="22">
        <f t="shared" si="13"/>
        <v>87959.267182539683</v>
      </c>
      <c r="AA38" s="24">
        <f t="shared" si="11"/>
        <v>247.34060846560845</v>
      </c>
      <c r="AB38" s="20">
        <v>134</v>
      </c>
      <c r="AC38" s="22">
        <f t="shared" si="14"/>
        <v>83592.495052910046</v>
      </c>
      <c r="AD38" s="24">
        <f t="shared" si="12"/>
        <v>235.06128747795412</v>
      </c>
      <c r="AE38" s="22"/>
      <c r="AF38" s="22"/>
      <c r="AG38" s="22">
        <v>36</v>
      </c>
      <c r="AH38" s="22">
        <v>107</v>
      </c>
      <c r="AI38" s="22">
        <v>120</v>
      </c>
      <c r="AJ38" s="22">
        <v>225</v>
      </c>
      <c r="AK38" s="22">
        <v>133</v>
      </c>
      <c r="AL38" s="22">
        <v>28</v>
      </c>
      <c r="AM38" s="22">
        <v>5</v>
      </c>
      <c r="AN38" s="25">
        <v>85.2</v>
      </c>
      <c r="AO38" s="25">
        <v>53.7</v>
      </c>
      <c r="AP38" s="26">
        <v>91.53</v>
      </c>
      <c r="AQ38" s="25">
        <v>117</v>
      </c>
      <c r="AR38" s="25">
        <v>119</v>
      </c>
      <c r="AS38" s="25">
        <v>121</v>
      </c>
      <c r="AT38" s="25"/>
    </row>
    <row r="39" spans="2:46">
      <c r="B39" s="11">
        <v>44791</v>
      </c>
      <c r="C39" s="20">
        <v>79.650000000000006</v>
      </c>
      <c r="D39" s="21">
        <v>131.75</v>
      </c>
      <c r="E39" s="22">
        <f t="shared" si="0"/>
        <v>82271.522767857139</v>
      </c>
      <c r="F39" s="23">
        <v>114.23</v>
      </c>
      <c r="G39" s="22">
        <f t="shared" si="15"/>
        <v>71331.127482142852</v>
      </c>
      <c r="H39" s="20">
        <v>100000</v>
      </c>
      <c r="I39" s="24">
        <f t="shared" si="3"/>
        <v>281.1990326753276</v>
      </c>
      <c r="J39" s="20"/>
      <c r="K39" s="24">
        <f t="shared" si="4"/>
        <v>0</v>
      </c>
      <c r="L39" s="20">
        <v>100000</v>
      </c>
      <c r="M39" s="24">
        <f t="shared" si="5"/>
        <v>281.1990326753276</v>
      </c>
      <c r="N39" s="20">
        <v>106000</v>
      </c>
      <c r="O39" s="24">
        <f t="shared" si="6"/>
        <v>298.07097463584722</v>
      </c>
      <c r="P39" s="22">
        <v>13000</v>
      </c>
      <c r="Q39" s="24">
        <f t="shared" si="7"/>
        <v>36.555874247792588</v>
      </c>
      <c r="R39" s="22">
        <v>6000</v>
      </c>
      <c r="S39" s="24">
        <f t="shared" si="8"/>
        <v>16.871941960519656</v>
      </c>
      <c r="T39" s="22">
        <v>900</v>
      </c>
      <c r="U39" s="24">
        <f t="shared" si="9"/>
        <v>2.5307912940779485</v>
      </c>
      <c r="V39" s="23">
        <v>155</v>
      </c>
      <c r="W39" s="22">
        <f t="shared" si="2"/>
        <v>96790.02678571429</v>
      </c>
      <c r="X39" s="24">
        <f t="shared" si="10"/>
        <v>272.17261904761904</v>
      </c>
      <c r="Y39" s="23">
        <v>160</v>
      </c>
      <c r="Z39" s="22">
        <f t="shared" si="13"/>
        <v>99912.285714285725</v>
      </c>
      <c r="AA39" s="24">
        <f t="shared" si="11"/>
        <v>280.95238095238096</v>
      </c>
      <c r="AB39" s="20">
        <v>155</v>
      </c>
      <c r="AC39" s="22">
        <f t="shared" si="14"/>
        <v>96790.02678571429</v>
      </c>
      <c r="AD39" s="24">
        <f t="shared" si="12"/>
        <v>272.17261904761904</v>
      </c>
      <c r="AE39" s="22"/>
      <c r="AF39" s="22"/>
      <c r="AG39" s="22">
        <v>36</v>
      </c>
      <c r="AH39" s="22">
        <v>110</v>
      </c>
      <c r="AI39" s="22">
        <v>135</v>
      </c>
      <c r="AJ39" s="22">
        <v>225</v>
      </c>
      <c r="AK39" s="22">
        <v>133</v>
      </c>
      <c r="AL39" s="22">
        <v>28</v>
      </c>
      <c r="AM39" s="22">
        <v>5</v>
      </c>
      <c r="AN39" s="25">
        <v>87</v>
      </c>
      <c r="AO39" s="25">
        <v>53</v>
      </c>
      <c r="AP39" s="26">
        <v>93.11</v>
      </c>
      <c r="AQ39" s="25">
        <v>117</v>
      </c>
      <c r="AR39" s="25">
        <v>119</v>
      </c>
      <c r="AS39" s="25">
        <v>121</v>
      </c>
      <c r="AT39" s="25"/>
    </row>
    <row r="40" spans="2:46">
      <c r="B40" s="11">
        <v>44795</v>
      </c>
      <c r="C40" s="20">
        <v>79.87</v>
      </c>
      <c r="D40" s="21">
        <v>131</v>
      </c>
      <c r="E40" s="22">
        <f t="shared" si="0"/>
        <v>82029.131203703713</v>
      </c>
      <c r="F40" s="23">
        <v>116.43</v>
      </c>
      <c r="G40" s="22">
        <f t="shared" si="15"/>
        <v>72905.738519444451</v>
      </c>
      <c r="H40" s="20">
        <v>102000</v>
      </c>
      <c r="I40" s="24">
        <f t="shared" si="3"/>
        <v>286.82301332883412</v>
      </c>
      <c r="J40" s="20"/>
      <c r="K40" s="24">
        <f t="shared" si="4"/>
        <v>0</v>
      </c>
      <c r="L40" s="20">
        <v>102000</v>
      </c>
      <c r="M40" s="24">
        <f t="shared" si="5"/>
        <v>286.82301332883412</v>
      </c>
      <c r="N40" s="20">
        <v>107000</v>
      </c>
      <c r="O40" s="24">
        <f t="shared" si="6"/>
        <v>300.88296496260051</v>
      </c>
      <c r="P40" s="22">
        <v>15000</v>
      </c>
      <c r="Q40" s="24">
        <f t="shared" si="7"/>
        <v>42.179854901299137</v>
      </c>
      <c r="R40" s="22">
        <v>6000</v>
      </c>
      <c r="S40" s="24">
        <f t="shared" si="8"/>
        <v>16.871941960519656</v>
      </c>
      <c r="T40" s="22">
        <v>1000</v>
      </c>
      <c r="U40" s="24">
        <f t="shared" si="9"/>
        <v>2.8119903267532758</v>
      </c>
      <c r="V40" s="23">
        <v>161</v>
      </c>
      <c r="W40" s="22">
        <f t="shared" si="2"/>
        <v>100814.42842592593</v>
      </c>
      <c r="X40" s="24">
        <f t="shared" si="10"/>
        <v>283.4891975308642</v>
      </c>
      <c r="Y40" s="23">
        <v>166</v>
      </c>
      <c r="Z40" s="22">
        <f t="shared" si="13"/>
        <v>103945.31129629631</v>
      </c>
      <c r="AA40" s="24">
        <f t="shared" si="11"/>
        <v>292.29320987654324</v>
      </c>
      <c r="AB40" s="20">
        <v>161</v>
      </c>
      <c r="AC40" s="22">
        <f t="shared" si="14"/>
        <v>100814.42842592593</v>
      </c>
      <c r="AD40" s="24">
        <f t="shared" si="12"/>
        <v>283.4891975308642</v>
      </c>
      <c r="AE40" s="22"/>
      <c r="AF40" s="22"/>
      <c r="AG40" s="22">
        <v>36.5</v>
      </c>
      <c r="AH40" s="22">
        <v>110</v>
      </c>
      <c r="AI40" s="22">
        <v>145</v>
      </c>
      <c r="AJ40" s="22">
        <v>225</v>
      </c>
      <c r="AK40" s="22">
        <v>133</v>
      </c>
      <c r="AL40" s="22">
        <v>28</v>
      </c>
      <c r="AM40" s="22">
        <v>5</v>
      </c>
      <c r="AN40" s="25">
        <v>85.8</v>
      </c>
      <c r="AO40" s="25">
        <v>52.2</v>
      </c>
      <c r="AP40" s="26">
        <v>91.54</v>
      </c>
      <c r="AQ40" s="25">
        <v>117</v>
      </c>
      <c r="AR40" s="25">
        <v>119</v>
      </c>
      <c r="AS40" s="25">
        <v>121</v>
      </c>
      <c r="AT40" s="25"/>
    </row>
    <row r="41" spans="2:46">
      <c r="B41" s="11">
        <v>44793</v>
      </c>
      <c r="C41" s="20">
        <v>80.06</v>
      </c>
      <c r="D41" s="21">
        <v>132.25</v>
      </c>
      <c r="E41" s="22">
        <f t="shared" si="0"/>
        <v>83008.850191798934</v>
      </c>
      <c r="F41" s="23">
        <v>116.29</v>
      </c>
      <c r="G41" s="22">
        <f t="shared" si="15"/>
        <v>72991.298214021183</v>
      </c>
      <c r="H41" s="20">
        <v>97000</v>
      </c>
      <c r="I41" s="24">
        <f t="shared" si="3"/>
        <v>272.76306169506779</v>
      </c>
      <c r="J41" s="20"/>
      <c r="K41" s="24">
        <f t="shared" si="4"/>
        <v>0</v>
      </c>
      <c r="L41" s="20">
        <v>97000</v>
      </c>
      <c r="M41" s="24">
        <f t="shared" si="5"/>
        <v>272.76306169506779</v>
      </c>
      <c r="N41" s="20">
        <v>101000</v>
      </c>
      <c r="O41" s="24">
        <f t="shared" si="6"/>
        <v>284.01102300208089</v>
      </c>
      <c r="P41" s="22">
        <v>15000</v>
      </c>
      <c r="Q41" s="24">
        <f t="shared" si="7"/>
        <v>42.179854901299137</v>
      </c>
      <c r="R41" s="22">
        <v>6000</v>
      </c>
      <c r="S41" s="24">
        <f t="shared" si="8"/>
        <v>16.871941960519656</v>
      </c>
      <c r="T41" s="22">
        <v>1000</v>
      </c>
      <c r="U41" s="24">
        <f t="shared" si="9"/>
        <v>2.8119903267532758</v>
      </c>
      <c r="V41" s="23">
        <v>157</v>
      </c>
      <c r="W41" s="22">
        <f t="shared" si="2"/>
        <v>98543.587751322746</v>
      </c>
      <c r="X41" s="24">
        <f t="shared" si="10"/>
        <v>277.10361552028218</v>
      </c>
      <c r="Y41" s="23">
        <v>162</v>
      </c>
      <c r="Z41" s="22">
        <f t="shared" si="13"/>
        <v>101681.91857142857</v>
      </c>
      <c r="AA41" s="24">
        <f t="shared" si="11"/>
        <v>285.92857142857144</v>
      </c>
      <c r="AB41" s="20">
        <v>157</v>
      </c>
      <c r="AC41" s="22">
        <f t="shared" si="14"/>
        <v>98543.587751322746</v>
      </c>
      <c r="AD41" s="24">
        <f t="shared" si="12"/>
        <v>277.10361552028218</v>
      </c>
      <c r="AE41" s="22"/>
      <c r="AF41" s="22"/>
      <c r="AG41" s="22">
        <v>36.5</v>
      </c>
      <c r="AH41" s="22">
        <v>110</v>
      </c>
      <c r="AI41" s="22">
        <v>145</v>
      </c>
      <c r="AJ41" s="22">
        <v>225</v>
      </c>
      <c r="AK41" s="22">
        <v>133</v>
      </c>
      <c r="AL41" s="22">
        <v>28</v>
      </c>
      <c r="AM41" s="22">
        <v>5</v>
      </c>
      <c r="AN41" s="25">
        <v>98.15</v>
      </c>
      <c r="AO41" s="25">
        <v>96.72</v>
      </c>
      <c r="AP41" s="26">
        <v>91.54</v>
      </c>
      <c r="AQ41" s="25">
        <v>117</v>
      </c>
      <c r="AR41" s="25">
        <v>119</v>
      </c>
      <c r="AS41" s="25">
        <v>121</v>
      </c>
      <c r="AT41" s="25"/>
    </row>
    <row r="42" spans="2:46">
      <c r="B42" s="11">
        <v>44809</v>
      </c>
      <c r="C42" s="20">
        <v>79.88</v>
      </c>
      <c r="D42" s="21">
        <v>126.6</v>
      </c>
      <c r="E42" s="22">
        <f t="shared" si="0"/>
        <v>79283.879650793649</v>
      </c>
      <c r="F42" s="23">
        <v>104.13</v>
      </c>
      <c r="G42" s="22">
        <f t="shared" si="15"/>
        <v>65211.93039523808</v>
      </c>
      <c r="H42" s="20">
        <v>88000</v>
      </c>
      <c r="I42" s="24">
        <f t="shared" si="3"/>
        <v>247.45514875428827</v>
      </c>
      <c r="J42" s="20"/>
      <c r="K42" s="24">
        <f t="shared" si="4"/>
        <v>0</v>
      </c>
      <c r="L42" s="20">
        <v>90000</v>
      </c>
      <c r="M42" s="24">
        <f t="shared" si="5"/>
        <v>253.07912940779482</v>
      </c>
      <c r="N42" s="20">
        <v>97000</v>
      </c>
      <c r="O42" s="24">
        <f t="shared" si="6"/>
        <v>272.76306169506779</v>
      </c>
      <c r="P42" s="22">
        <v>15000</v>
      </c>
      <c r="Q42" s="24">
        <f t="shared" si="7"/>
        <v>42.179854901299137</v>
      </c>
      <c r="R42" s="22">
        <v>6000</v>
      </c>
      <c r="S42" s="24">
        <f t="shared" si="8"/>
        <v>16.871941960519656</v>
      </c>
      <c r="T42" s="22">
        <v>1000</v>
      </c>
      <c r="U42" s="24">
        <f t="shared" si="9"/>
        <v>2.8119903267532758</v>
      </c>
      <c r="V42" s="23">
        <v>135</v>
      </c>
      <c r="W42" s="22">
        <f t="shared" si="2"/>
        <v>84544.421428571412</v>
      </c>
      <c r="X42" s="24">
        <f t="shared" si="10"/>
        <v>237.73809523809518</v>
      </c>
      <c r="Y42" s="23">
        <v>140</v>
      </c>
      <c r="Z42" s="22">
        <f t="shared" si="13"/>
        <v>87675.696296296286</v>
      </c>
      <c r="AA42" s="24">
        <f t="shared" si="11"/>
        <v>246.54320987654319</v>
      </c>
      <c r="AB42" s="20">
        <v>140</v>
      </c>
      <c r="AC42" s="22">
        <f t="shared" si="14"/>
        <v>87675.696296296286</v>
      </c>
      <c r="AD42" s="24">
        <f t="shared" si="12"/>
        <v>246.54320987654319</v>
      </c>
      <c r="AE42" s="22"/>
      <c r="AF42" s="22"/>
      <c r="AG42" s="22">
        <v>36.5</v>
      </c>
      <c r="AH42" s="22">
        <v>100</v>
      </c>
      <c r="AI42" s="22">
        <v>130</v>
      </c>
      <c r="AJ42" s="22">
        <v>225</v>
      </c>
      <c r="AK42" s="22">
        <v>133</v>
      </c>
      <c r="AL42" s="22">
        <v>28</v>
      </c>
      <c r="AM42" s="22">
        <v>5</v>
      </c>
      <c r="AN42" s="25">
        <v>85.1</v>
      </c>
      <c r="AO42" s="25">
        <v>52.2</v>
      </c>
      <c r="AP42" s="26">
        <v>90.93</v>
      </c>
      <c r="AQ42" s="25">
        <v>115</v>
      </c>
      <c r="AR42" s="25">
        <v>117</v>
      </c>
      <c r="AS42" s="25">
        <v>119</v>
      </c>
      <c r="AT42" s="25"/>
    </row>
    <row r="43" spans="2:46">
      <c r="B43" s="11">
        <v>44816</v>
      </c>
      <c r="C43" s="20">
        <v>79.55</v>
      </c>
      <c r="D43" s="21">
        <v>122.4</v>
      </c>
      <c r="E43" s="22">
        <f t="shared" si="0"/>
        <v>76336.937619047618</v>
      </c>
      <c r="F43" s="23">
        <v>106.16</v>
      </c>
      <c r="G43" s="22">
        <f t="shared" si="15"/>
        <v>66208.572693121678</v>
      </c>
      <c r="H43" s="20">
        <v>87000</v>
      </c>
      <c r="I43" s="24">
        <f t="shared" si="3"/>
        <v>244.64315842753501</v>
      </c>
      <c r="J43" s="20"/>
      <c r="K43" s="24">
        <f t="shared" si="4"/>
        <v>0</v>
      </c>
      <c r="L43" s="20">
        <v>88000</v>
      </c>
      <c r="M43" s="24">
        <f t="shared" si="5"/>
        <v>247.45514875428827</v>
      </c>
      <c r="N43" s="20">
        <v>96000</v>
      </c>
      <c r="O43" s="24">
        <f t="shared" si="6"/>
        <v>269.9510713683145</v>
      </c>
      <c r="P43" s="22">
        <v>16000</v>
      </c>
      <c r="Q43" s="24">
        <f t="shared" si="7"/>
        <v>44.991845228052412</v>
      </c>
      <c r="R43" s="22">
        <v>6000</v>
      </c>
      <c r="S43" s="24">
        <f t="shared" si="8"/>
        <v>16.871941960519656</v>
      </c>
      <c r="T43" s="22">
        <v>1100</v>
      </c>
      <c r="U43" s="24">
        <f t="shared" si="9"/>
        <v>3.0931893594286035</v>
      </c>
      <c r="V43" s="23">
        <v>138</v>
      </c>
      <c r="W43" s="22">
        <f t="shared" si="2"/>
        <v>86066.155158730151</v>
      </c>
      <c r="X43" s="24">
        <f t="shared" si="10"/>
        <v>242.01719576719574</v>
      </c>
      <c r="Y43" s="23">
        <v>138</v>
      </c>
      <c r="Z43" s="22">
        <f t="shared" si="13"/>
        <v>86066.155158730151</v>
      </c>
      <c r="AA43" s="24">
        <f t="shared" si="11"/>
        <v>242.01719576719574</v>
      </c>
      <c r="AB43" s="20">
        <v>132</v>
      </c>
      <c r="AC43" s="22">
        <f t="shared" si="14"/>
        <v>82324.148412698414</v>
      </c>
      <c r="AD43" s="24">
        <f t="shared" si="12"/>
        <v>231.49470899470899</v>
      </c>
      <c r="AE43" s="22"/>
      <c r="AF43" s="22"/>
      <c r="AG43" s="22">
        <v>42</v>
      </c>
      <c r="AH43" s="22">
        <v>100</v>
      </c>
      <c r="AI43" s="22">
        <v>125</v>
      </c>
      <c r="AJ43" s="22">
        <v>225</v>
      </c>
      <c r="AK43" s="22">
        <v>133</v>
      </c>
      <c r="AL43" s="22">
        <v>28</v>
      </c>
      <c r="AM43" s="22">
        <v>5</v>
      </c>
      <c r="AN43" s="25">
        <v>85.6</v>
      </c>
      <c r="AO43" s="25">
        <v>54.9</v>
      </c>
      <c r="AP43" s="26">
        <v>92.78</v>
      </c>
      <c r="AQ43" s="25">
        <v>116</v>
      </c>
      <c r="AR43" s="25">
        <v>118</v>
      </c>
      <c r="AS43" s="25">
        <v>120</v>
      </c>
      <c r="AT43" s="25"/>
    </row>
    <row r="44" spans="2:46">
      <c r="B44" s="11">
        <v>44823</v>
      </c>
      <c r="C44" s="20">
        <v>79.709999999999994</v>
      </c>
      <c r="D44" s="21">
        <v>121.75</v>
      </c>
      <c r="E44" s="22">
        <f t="shared" si="0"/>
        <v>76084.275724206338</v>
      </c>
      <c r="F44" s="23">
        <v>98</v>
      </c>
      <c r="G44" s="22">
        <f t="shared" si="15"/>
        <v>61242.373888888884</v>
      </c>
      <c r="H44" s="20">
        <v>83000</v>
      </c>
      <c r="I44" s="24">
        <f t="shared" si="3"/>
        <v>233.39519712052191</v>
      </c>
      <c r="J44" s="20"/>
      <c r="K44" s="24">
        <f t="shared" si="4"/>
        <v>0</v>
      </c>
      <c r="L44" s="20">
        <v>84000</v>
      </c>
      <c r="M44" s="24">
        <f t="shared" si="5"/>
        <v>236.20718744727517</v>
      </c>
      <c r="N44" s="20">
        <v>92000</v>
      </c>
      <c r="O44" s="24">
        <f t="shared" si="6"/>
        <v>258.7031100613014</v>
      </c>
      <c r="P44" s="22">
        <v>16000</v>
      </c>
      <c r="Q44" s="24">
        <f t="shared" si="7"/>
        <v>44.991845228052412</v>
      </c>
      <c r="R44" s="22">
        <v>6000</v>
      </c>
      <c r="S44" s="24">
        <f t="shared" si="8"/>
        <v>16.871941960519656</v>
      </c>
      <c r="T44" s="22">
        <v>1100</v>
      </c>
      <c r="U44" s="24">
        <f t="shared" si="9"/>
        <v>3.0931893594286035</v>
      </c>
      <c r="V44" s="23">
        <v>132</v>
      </c>
      <c r="W44" s="22">
        <f t="shared" si="2"/>
        <v>82489.728095238082</v>
      </c>
      <c r="X44" s="24">
        <f t="shared" si="10"/>
        <v>231.96031746031741</v>
      </c>
      <c r="Y44" s="23">
        <v>138</v>
      </c>
      <c r="Z44" s="22">
        <f t="shared" si="13"/>
        <v>86239.261190476187</v>
      </c>
      <c r="AA44" s="24">
        <f t="shared" si="11"/>
        <v>242.50396825396825</v>
      </c>
      <c r="AB44" s="20">
        <v>132</v>
      </c>
      <c r="AC44" s="22">
        <f t="shared" si="14"/>
        <v>82489.728095238082</v>
      </c>
      <c r="AD44" s="24">
        <f t="shared" si="12"/>
        <v>231.96031746031741</v>
      </c>
      <c r="AE44" s="22"/>
      <c r="AF44" s="22"/>
      <c r="AG44" s="22">
        <v>42</v>
      </c>
      <c r="AH44" s="22">
        <v>100</v>
      </c>
      <c r="AI44" s="22">
        <v>122</v>
      </c>
      <c r="AJ44" s="22">
        <v>225</v>
      </c>
      <c r="AK44" s="22">
        <v>133</v>
      </c>
      <c r="AL44" s="22">
        <v>28</v>
      </c>
      <c r="AM44" s="22">
        <v>5</v>
      </c>
      <c r="AN44" s="25">
        <v>80.599999999999994</v>
      </c>
      <c r="AO44" s="25">
        <v>57.4</v>
      </c>
      <c r="AP44" s="26">
        <v>93.13</v>
      </c>
      <c r="AQ44" s="25">
        <v>114</v>
      </c>
      <c r="AR44" s="25">
        <v>116</v>
      </c>
      <c r="AS44" s="25">
        <v>118</v>
      </c>
      <c r="AT44" s="25"/>
    </row>
    <row r="45" spans="2:46">
      <c r="B45" s="11">
        <v>44830</v>
      </c>
      <c r="C45" s="20">
        <v>81.52</v>
      </c>
      <c r="D45" s="21">
        <v>114.85</v>
      </c>
      <c r="E45" s="22">
        <f t="shared" si="0"/>
        <v>73402.069105820105</v>
      </c>
      <c r="F45" s="23">
        <v>92.9</v>
      </c>
      <c r="G45" s="22">
        <f t="shared" si="15"/>
        <v>59373.550021164025</v>
      </c>
      <c r="H45" s="20">
        <v>75000</v>
      </c>
      <c r="I45" s="24">
        <f t="shared" si="3"/>
        <v>210.89927450649569</v>
      </c>
      <c r="J45" s="20"/>
      <c r="K45" s="24">
        <f t="shared" si="4"/>
        <v>0</v>
      </c>
      <c r="L45" s="20">
        <v>76000</v>
      </c>
      <c r="M45" s="24">
        <f t="shared" si="5"/>
        <v>213.71126483324898</v>
      </c>
      <c r="N45" s="20">
        <v>87000</v>
      </c>
      <c r="O45" s="24">
        <f t="shared" si="6"/>
        <v>244.64315842753501</v>
      </c>
      <c r="P45" s="22">
        <v>16000</v>
      </c>
      <c r="Q45" s="24">
        <f t="shared" si="7"/>
        <v>44.991845228052412</v>
      </c>
      <c r="R45" s="22">
        <v>6000</v>
      </c>
      <c r="S45" s="24">
        <f t="shared" si="8"/>
        <v>16.871941960519656</v>
      </c>
      <c r="T45" s="22">
        <v>1100</v>
      </c>
      <c r="U45" s="24">
        <f t="shared" si="9"/>
        <v>3.0931893594286035</v>
      </c>
      <c r="V45" s="23">
        <v>124</v>
      </c>
      <c r="W45" s="22">
        <f t="shared" si="2"/>
        <v>79249.948359788352</v>
      </c>
      <c r="X45" s="24">
        <f t="shared" si="10"/>
        <v>222.85008818342149</v>
      </c>
      <c r="Y45" s="23">
        <v>130</v>
      </c>
      <c r="Z45" s="22">
        <f t="shared" si="13"/>
        <v>83084.623280423286</v>
      </c>
      <c r="AA45" s="24">
        <f t="shared" si="11"/>
        <v>233.6331569664903</v>
      </c>
      <c r="AB45" s="20">
        <v>124</v>
      </c>
      <c r="AC45" s="22">
        <f t="shared" si="14"/>
        <v>79249.948359788352</v>
      </c>
      <c r="AD45" s="24">
        <f t="shared" si="12"/>
        <v>222.85008818342149</v>
      </c>
      <c r="AE45" s="22"/>
      <c r="AF45" s="22"/>
      <c r="AG45" s="22">
        <v>38</v>
      </c>
      <c r="AH45" s="22">
        <v>100</v>
      </c>
      <c r="AI45" s="22">
        <v>120</v>
      </c>
      <c r="AJ45" s="22">
        <v>225</v>
      </c>
      <c r="AK45" s="22">
        <v>133</v>
      </c>
      <c r="AL45" s="22">
        <v>28</v>
      </c>
      <c r="AM45" s="22">
        <v>5</v>
      </c>
      <c r="AN45" s="25">
        <v>84.1</v>
      </c>
      <c r="AO45" s="25">
        <v>56.6</v>
      </c>
      <c r="AP45" s="26">
        <v>91.57</v>
      </c>
      <c r="AQ45" s="25">
        <v>114</v>
      </c>
      <c r="AR45" s="25">
        <v>116</v>
      </c>
      <c r="AS45" s="25">
        <v>118</v>
      </c>
      <c r="AT45" s="25"/>
    </row>
    <row r="46" spans="2:46">
      <c r="B46" s="11">
        <v>44837</v>
      </c>
      <c r="C46" s="20">
        <v>81.78</v>
      </c>
      <c r="D46" s="21">
        <v>107.1</v>
      </c>
      <c r="E46" s="22">
        <f t="shared" si="0"/>
        <v>68667.258500000011</v>
      </c>
      <c r="F46" s="23">
        <v>85.68</v>
      </c>
      <c r="G46" s="22">
        <f t="shared" si="15"/>
        <v>54933.806800000006</v>
      </c>
      <c r="H46" s="20">
        <v>70000</v>
      </c>
      <c r="I46" s="24">
        <f t="shared" si="3"/>
        <v>196.83932287272933</v>
      </c>
      <c r="J46" s="20"/>
      <c r="K46" s="24">
        <f t="shared" si="4"/>
        <v>0</v>
      </c>
      <c r="L46" s="20">
        <v>73000</v>
      </c>
      <c r="M46" s="24">
        <f t="shared" si="5"/>
        <v>205.27529385298914</v>
      </c>
      <c r="N46" s="20">
        <v>85000</v>
      </c>
      <c r="O46" s="24">
        <f t="shared" si="6"/>
        <v>239.01917777402846</v>
      </c>
      <c r="P46" s="22">
        <v>16000</v>
      </c>
      <c r="Q46" s="24">
        <f t="shared" si="7"/>
        <v>44.991845228052412</v>
      </c>
      <c r="R46" s="22">
        <v>6000</v>
      </c>
      <c r="S46" s="24">
        <f t="shared" si="8"/>
        <v>16.871941960519656</v>
      </c>
      <c r="T46" s="22">
        <v>1100</v>
      </c>
      <c r="U46" s="24">
        <f t="shared" si="9"/>
        <v>3.0931893594286035</v>
      </c>
      <c r="V46" s="23">
        <v>117</v>
      </c>
      <c r="W46" s="22">
        <f t="shared" si="2"/>
        <v>75014.652142857158</v>
      </c>
      <c r="X46" s="24">
        <f t="shared" si="10"/>
        <v>210.94047619047623</v>
      </c>
      <c r="Y46" s="23">
        <v>120</v>
      </c>
      <c r="Z46" s="22">
        <f t="shared" si="13"/>
        <v>76938.10476190476</v>
      </c>
      <c r="AA46" s="24">
        <f t="shared" si="11"/>
        <v>216.34920634920636</v>
      </c>
      <c r="AB46" s="20">
        <v>117</v>
      </c>
      <c r="AC46" s="22">
        <f t="shared" si="14"/>
        <v>75014.652142857158</v>
      </c>
      <c r="AD46" s="24">
        <f t="shared" si="12"/>
        <v>210.94047619047623</v>
      </c>
      <c r="AE46" s="22"/>
      <c r="AF46" s="22"/>
      <c r="AG46" s="22">
        <v>27</v>
      </c>
      <c r="AH46" s="22">
        <v>96</v>
      </c>
      <c r="AI46" s="22">
        <v>125</v>
      </c>
      <c r="AJ46" s="22">
        <v>200</v>
      </c>
      <c r="AK46" s="22">
        <v>123</v>
      </c>
      <c r="AL46" s="22">
        <v>28</v>
      </c>
      <c r="AM46" s="22">
        <v>5</v>
      </c>
      <c r="AN46" s="25">
        <v>84.1</v>
      </c>
      <c r="AO46" s="25">
        <v>56</v>
      </c>
      <c r="AP46" s="26">
        <v>91.3</v>
      </c>
      <c r="AQ46" s="25">
        <v>108</v>
      </c>
      <c r="AR46" s="25">
        <v>110</v>
      </c>
      <c r="AS46" s="25">
        <v>112</v>
      </c>
      <c r="AT46" s="25"/>
    </row>
    <row r="47" spans="2:46">
      <c r="B47" s="11">
        <v>44844</v>
      </c>
      <c r="C47" s="20">
        <v>82.36</v>
      </c>
      <c r="D47" s="21">
        <v>101.7</v>
      </c>
      <c r="E47" s="22">
        <f t="shared" si="0"/>
        <v>65667.4909047619</v>
      </c>
      <c r="F47" s="23">
        <v>83.79</v>
      </c>
      <c r="G47" s="22">
        <f t="shared" si="15"/>
        <v>54103.038966666674</v>
      </c>
      <c r="H47" s="20">
        <v>71000</v>
      </c>
      <c r="I47" s="24">
        <f t="shared" si="3"/>
        <v>199.65131319948259</v>
      </c>
      <c r="J47" s="20"/>
      <c r="K47" s="24">
        <f t="shared" si="4"/>
        <v>0</v>
      </c>
      <c r="L47" s="20">
        <v>72000</v>
      </c>
      <c r="M47" s="24">
        <f t="shared" si="5"/>
        <v>202.46330352623588</v>
      </c>
      <c r="N47" s="20">
        <v>82000</v>
      </c>
      <c r="O47" s="24">
        <f t="shared" si="6"/>
        <v>230.58320679376862</v>
      </c>
      <c r="P47" s="22">
        <v>16000</v>
      </c>
      <c r="Q47" s="24">
        <f t="shared" si="7"/>
        <v>44.991845228052412</v>
      </c>
      <c r="R47" s="22">
        <v>6000</v>
      </c>
      <c r="S47" s="24">
        <f t="shared" si="8"/>
        <v>16.871941960519656</v>
      </c>
      <c r="T47" s="22">
        <v>1100</v>
      </c>
      <c r="U47" s="24">
        <f t="shared" si="9"/>
        <v>3.0931893594286035</v>
      </c>
      <c r="V47" s="23">
        <v>109</v>
      </c>
      <c r="W47" s="22">
        <f t="shared" si="2"/>
        <v>70381.086613756619</v>
      </c>
      <c r="X47" s="24">
        <f t="shared" si="10"/>
        <v>197.91093474426808</v>
      </c>
      <c r="Y47" s="23">
        <v>117</v>
      </c>
      <c r="Z47" s="22">
        <f t="shared" si="13"/>
        <v>75546.670952380955</v>
      </c>
      <c r="AA47" s="24">
        <f t="shared" si="11"/>
        <v>212.43650793650795</v>
      </c>
      <c r="AB47" s="20">
        <v>108</v>
      </c>
      <c r="AC47" s="22">
        <f t="shared" si="14"/>
        <v>69735.388571428572</v>
      </c>
      <c r="AD47" s="24">
        <f t="shared" si="12"/>
        <v>196.0952380952381</v>
      </c>
      <c r="AE47" s="22"/>
      <c r="AF47" s="22"/>
      <c r="AG47" s="22">
        <v>27</v>
      </c>
      <c r="AH47" s="22">
        <v>96</v>
      </c>
      <c r="AI47" s="22">
        <v>125</v>
      </c>
      <c r="AJ47" s="22">
        <v>200</v>
      </c>
      <c r="AK47" s="22">
        <v>123</v>
      </c>
      <c r="AL47" s="22">
        <v>28</v>
      </c>
      <c r="AM47" s="22">
        <v>5</v>
      </c>
      <c r="AN47" s="25">
        <v>87.8</v>
      </c>
      <c r="AO47" s="25">
        <v>56.2</v>
      </c>
      <c r="AP47" s="26">
        <v>94.62</v>
      </c>
      <c r="AQ47" s="25">
        <v>108</v>
      </c>
      <c r="AR47" s="25">
        <v>110</v>
      </c>
      <c r="AS47" s="25">
        <v>112</v>
      </c>
      <c r="AT47" s="25"/>
    </row>
    <row r="48" spans="2:46">
      <c r="B48" s="11">
        <v>44851</v>
      </c>
      <c r="C48" s="20">
        <v>82.38</v>
      </c>
      <c r="D48" s="21">
        <v>102.65</v>
      </c>
      <c r="E48" s="22">
        <f t="shared" si="0"/>
        <v>66296.999456349207</v>
      </c>
      <c r="F48" s="23">
        <v>84.14</v>
      </c>
      <c r="G48" s="22">
        <f t="shared" si="15"/>
        <v>54342.226344444447</v>
      </c>
      <c r="H48" s="20">
        <v>68000</v>
      </c>
      <c r="I48" s="24">
        <f t="shared" si="3"/>
        <v>191.21534221922278</v>
      </c>
      <c r="J48" s="20"/>
      <c r="K48" s="24">
        <f t="shared" si="4"/>
        <v>0</v>
      </c>
      <c r="L48" s="20">
        <v>69000</v>
      </c>
      <c r="M48" s="24">
        <f t="shared" si="5"/>
        <v>194.02733254597604</v>
      </c>
      <c r="N48" s="20">
        <v>79000</v>
      </c>
      <c r="O48" s="24">
        <f t="shared" si="6"/>
        <v>222.14723581350879</v>
      </c>
      <c r="P48" s="22">
        <v>16000</v>
      </c>
      <c r="Q48" s="24">
        <f t="shared" si="7"/>
        <v>44.991845228052412</v>
      </c>
      <c r="R48" s="22">
        <v>6000</v>
      </c>
      <c r="S48" s="24">
        <f t="shared" si="8"/>
        <v>16.871941960519656</v>
      </c>
      <c r="T48" s="22">
        <v>1100</v>
      </c>
      <c r="U48" s="24">
        <f t="shared" si="9"/>
        <v>3.0931893594286035</v>
      </c>
      <c r="V48" s="23">
        <v>109</v>
      </c>
      <c r="W48" s="22">
        <f t="shared" si="2"/>
        <v>70398.177698412692</v>
      </c>
      <c r="X48" s="24">
        <f t="shared" si="10"/>
        <v>197.95899470899468</v>
      </c>
      <c r="Y48" s="23">
        <v>114</v>
      </c>
      <c r="Z48" s="22">
        <f t="shared" si="13"/>
        <v>73627.451904761896</v>
      </c>
      <c r="AA48" s="24">
        <f t="shared" si="11"/>
        <v>207.0396825396825</v>
      </c>
      <c r="AB48" s="20">
        <v>108</v>
      </c>
      <c r="AC48" s="22">
        <f t="shared" si="14"/>
        <v>69752.322857142848</v>
      </c>
      <c r="AD48" s="24">
        <f t="shared" si="12"/>
        <v>196.14285714285711</v>
      </c>
      <c r="AE48" s="22"/>
      <c r="AF48" s="22"/>
      <c r="AG48" s="22">
        <v>27</v>
      </c>
      <c r="AH48" s="22">
        <v>96.5</v>
      </c>
      <c r="AI48" s="22">
        <v>121</v>
      </c>
      <c r="AJ48" s="22">
        <v>200</v>
      </c>
      <c r="AK48" s="22">
        <v>118</v>
      </c>
      <c r="AL48" s="22">
        <v>28</v>
      </c>
      <c r="AM48" s="22">
        <v>5</v>
      </c>
      <c r="AN48" s="25">
        <v>86</v>
      </c>
      <c r="AO48" s="25">
        <v>55.7</v>
      </c>
      <c r="AP48" s="26">
        <v>92.9</v>
      </c>
      <c r="AQ48" s="25">
        <v>108</v>
      </c>
      <c r="AR48" s="25">
        <v>110</v>
      </c>
      <c r="AS48" s="25">
        <v>112</v>
      </c>
      <c r="AT48" s="25"/>
    </row>
    <row r="49" spans="2:46">
      <c r="B49" s="11">
        <v>44865</v>
      </c>
      <c r="C49" s="20">
        <v>82.85</v>
      </c>
      <c r="D49" s="21">
        <v>92.5</v>
      </c>
      <c r="E49" s="22">
        <f t="shared" si="0"/>
        <v>60082.414517195764</v>
      </c>
      <c r="F49" s="23">
        <v>84.14</v>
      </c>
      <c r="G49" s="22">
        <f t="shared" si="15"/>
        <v>54652.263324074076</v>
      </c>
      <c r="H49" s="20">
        <v>62000</v>
      </c>
      <c r="I49" s="24">
        <f t="shared" si="3"/>
        <v>174.3434002587031</v>
      </c>
      <c r="J49" s="20"/>
      <c r="K49" s="24">
        <f t="shared" si="4"/>
        <v>0</v>
      </c>
      <c r="L49" s="20">
        <v>64000</v>
      </c>
      <c r="M49" s="24">
        <f t="shared" si="5"/>
        <v>179.96738091220965</v>
      </c>
      <c r="N49" s="20">
        <v>75000</v>
      </c>
      <c r="O49" s="24">
        <f t="shared" si="6"/>
        <v>210.89927450649569</v>
      </c>
      <c r="P49" s="22">
        <v>16000</v>
      </c>
      <c r="Q49" s="24">
        <f t="shared" si="7"/>
        <v>44.991845228052412</v>
      </c>
      <c r="R49" s="22">
        <v>6000</v>
      </c>
      <c r="S49" s="24">
        <f t="shared" si="8"/>
        <v>16.871941960519656</v>
      </c>
      <c r="T49" s="22">
        <v>1000</v>
      </c>
      <c r="U49" s="24">
        <f t="shared" si="9"/>
        <v>2.8119903267532758</v>
      </c>
      <c r="V49" s="23">
        <v>97</v>
      </c>
      <c r="W49" s="22">
        <f t="shared" si="2"/>
        <v>63005.342791005292</v>
      </c>
      <c r="X49" s="24">
        <f t="shared" si="10"/>
        <v>177.17041446208114</v>
      </c>
      <c r="Y49" s="23">
        <v>99</v>
      </c>
      <c r="Z49" s="22">
        <f t="shared" si="13"/>
        <v>64304.422023809515</v>
      </c>
      <c r="AA49" s="24">
        <f t="shared" si="11"/>
        <v>180.82341269841268</v>
      </c>
      <c r="AB49" s="20">
        <v>97</v>
      </c>
      <c r="AC49" s="22">
        <f t="shared" si="14"/>
        <v>63005.342791005292</v>
      </c>
      <c r="AD49" s="24">
        <f t="shared" si="12"/>
        <v>177.17041446208114</v>
      </c>
      <c r="AE49" s="22"/>
      <c r="AF49" s="22"/>
      <c r="AG49" s="22">
        <v>27</v>
      </c>
      <c r="AH49" s="22">
        <v>96</v>
      </c>
      <c r="AI49" s="22">
        <v>130</v>
      </c>
      <c r="AJ49" s="22">
        <v>200</v>
      </c>
      <c r="AK49" s="22">
        <v>118</v>
      </c>
      <c r="AL49" s="22">
        <v>28</v>
      </c>
      <c r="AM49" s="22">
        <v>5</v>
      </c>
      <c r="AN49" s="25">
        <v>83.9</v>
      </c>
      <c r="AO49" s="25">
        <v>54.1</v>
      </c>
      <c r="AP49" s="26">
        <v>90.55</v>
      </c>
      <c r="AQ49" s="25">
        <v>108</v>
      </c>
      <c r="AR49" s="25">
        <v>110</v>
      </c>
      <c r="AS49" s="25">
        <v>112</v>
      </c>
      <c r="AT49" s="25"/>
    </row>
    <row r="50" spans="2:46">
      <c r="B50" s="11">
        <v>44873</v>
      </c>
      <c r="C50" s="20">
        <v>82.01</v>
      </c>
      <c r="D50" s="21">
        <v>100.1</v>
      </c>
      <c r="E50" s="22">
        <f t="shared" si="0"/>
        <v>64359.701490740736</v>
      </c>
      <c r="F50" s="23">
        <v>85.62</v>
      </c>
      <c r="G50" s="22">
        <f t="shared" si="15"/>
        <v>55049.726689682546</v>
      </c>
      <c r="H50" s="20">
        <v>65000</v>
      </c>
      <c r="I50" s="24">
        <f t="shared" si="3"/>
        <v>182.77937123896294</v>
      </c>
      <c r="J50" s="20"/>
      <c r="K50" s="24">
        <f t="shared" si="4"/>
        <v>0</v>
      </c>
      <c r="L50" s="20">
        <v>67000</v>
      </c>
      <c r="M50" s="24">
        <f t="shared" si="5"/>
        <v>188.40335189246949</v>
      </c>
      <c r="N50" s="20">
        <v>75000</v>
      </c>
      <c r="O50" s="24">
        <f t="shared" si="6"/>
        <v>210.89927450649569</v>
      </c>
      <c r="P50" s="22">
        <v>16000</v>
      </c>
      <c r="Q50" s="24">
        <f t="shared" si="7"/>
        <v>44.991845228052412</v>
      </c>
      <c r="R50" s="22">
        <v>6000</v>
      </c>
      <c r="S50" s="24">
        <f t="shared" si="8"/>
        <v>16.871941960519656</v>
      </c>
      <c r="T50" s="22">
        <v>1000</v>
      </c>
      <c r="U50" s="24">
        <f t="shared" si="9"/>
        <v>2.8119903267532758</v>
      </c>
      <c r="V50" s="23">
        <v>115</v>
      </c>
      <c r="W50" s="22">
        <f t="shared" si="2"/>
        <v>73939.71699735451</v>
      </c>
      <c r="X50" s="24">
        <f t="shared" si="10"/>
        <v>207.91776895943565</v>
      </c>
      <c r="Y50" s="23">
        <v>107</v>
      </c>
      <c r="Z50" s="22">
        <f t="shared" si="13"/>
        <v>68796.084510582019</v>
      </c>
      <c r="AA50" s="24">
        <f t="shared" si="11"/>
        <v>193.45392416225752</v>
      </c>
      <c r="AB50" s="20">
        <v>104</v>
      </c>
      <c r="AC50" s="22">
        <f t="shared" si="14"/>
        <v>66867.222328042335</v>
      </c>
      <c r="AD50" s="24">
        <f t="shared" si="12"/>
        <v>188.02998236331572</v>
      </c>
      <c r="AE50" s="22"/>
      <c r="AF50" s="22"/>
      <c r="AG50" s="22">
        <v>30</v>
      </c>
      <c r="AH50" s="22">
        <v>100</v>
      </c>
      <c r="AI50" s="22">
        <v>130</v>
      </c>
      <c r="AJ50" s="22">
        <v>200</v>
      </c>
      <c r="AK50" s="22">
        <v>120</v>
      </c>
      <c r="AL50" s="22">
        <v>28</v>
      </c>
      <c r="AM50" s="22">
        <v>5</v>
      </c>
      <c r="AN50" s="25">
        <v>81.2</v>
      </c>
      <c r="AO50" s="25">
        <v>52.2</v>
      </c>
      <c r="AP50" s="26">
        <v>87.58</v>
      </c>
      <c r="AQ50" s="25">
        <v>106</v>
      </c>
      <c r="AR50" s="25">
        <v>108</v>
      </c>
      <c r="AS50" s="25">
        <v>110</v>
      </c>
      <c r="AT50" s="25"/>
    </row>
    <row r="51" spans="2:46">
      <c r="B51" s="11">
        <v>44879</v>
      </c>
      <c r="C51" s="20">
        <v>81.099999999999994</v>
      </c>
      <c r="D51" s="21">
        <v>103.55</v>
      </c>
      <c r="E51" s="22">
        <f t="shared" si="0"/>
        <v>65839.130866402105</v>
      </c>
      <c r="F51" s="23">
        <v>85.62</v>
      </c>
      <c r="G51" s="22">
        <f t="shared" si="15"/>
        <v>54438.883484126978</v>
      </c>
      <c r="H51" s="20">
        <v>69500</v>
      </c>
      <c r="I51" s="24">
        <f t="shared" si="3"/>
        <v>195.43332770935268</v>
      </c>
      <c r="J51" s="20"/>
      <c r="K51" s="24">
        <f t="shared" si="4"/>
        <v>0</v>
      </c>
      <c r="L51" s="20">
        <v>70000</v>
      </c>
      <c r="M51" s="24">
        <f t="shared" si="5"/>
        <v>196.83932287272933</v>
      </c>
      <c r="N51" s="20">
        <v>75000</v>
      </c>
      <c r="O51" s="24">
        <f t="shared" si="6"/>
        <v>210.89927450649569</v>
      </c>
      <c r="P51" s="22">
        <v>16000</v>
      </c>
      <c r="Q51" s="24">
        <f t="shared" si="7"/>
        <v>44.991845228052412</v>
      </c>
      <c r="R51" s="22">
        <v>6000</v>
      </c>
      <c r="S51" s="24">
        <f t="shared" si="8"/>
        <v>16.871941960519656</v>
      </c>
      <c r="T51" s="22">
        <v>1000</v>
      </c>
      <c r="U51" s="24">
        <f t="shared" si="9"/>
        <v>2.8119903267532758</v>
      </c>
      <c r="V51" s="23">
        <v>111</v>
      </c>
      <c r="W51" s="22">
        <f t="shared" si="2"/>
        <v>70575.987698412704</v>
      </c>
      <c r="X51" s="24">
        <f t="shared" si="10"/>
        <v>198.45899470899471</v>
      </c>
      <c r="Y51" s="23">
        <v>112</v>
      </c>
      <c r="Z51" s="22">
        <f t="shared" si="13"/>
        <v>71211.80740740741</v>
      </c>
      <c r="AA51" s="24">
        <f t="shared" si="11"/>
        <v>200.24691358024691</v>
      </c>
      <c r="AB51" s="20">
        <v>110</v>
      </c>
      <c r="AC51" s="22">
        <f t="shared" si="14"/>
        <v>69940.167989417983</v>
      </c>
      <c r="AD51" s="24">
        <f t="shared" si="12"/>
        <v>196.67107583774248</v>
      </c>
      <c r="AE51" s="22"/>
      <c r="AF51" s="22"/>
      <c r="AG51" s="22">
        <v>44</v>
      </c>
      <c r="AH51" s="22">
        <v>114</v>
      </c>
      <c r="AI51" s="22">
        <v>136</v>
      </c>
      <c r="AJ51" s="22">
        <v>175</v>
      </c>
      <c r="AK51" s="22">
        <v>135</v>
      </c>
      <c r="AL51" s="22">
        <v>45</v>
      </c>
      <c r="AM51" s="22">
        <v>5</v>
      </c>
      <c r="AN51" s="25">
        <v>81.2</v>
      </c>
      <c r="AO51" s="25">
        <v>52.2</v>
      </c>
      <c r="AP51" s="26">
        <v>87.58</v>
      </c>
      <c r="AQ51" s="25">
        <v>106</v>
      </c>
      <c r="AR51" s="25">
        <v>108</v>
      </c>
      <c r="AS51" s="25">
        <v>110</v>
      </c>
      <c r="AT51" s="25"/>
    </row>
    <row r="52" spans="2:46">
      <c r="B52" s="11">
        <v>44895</v>
      </c>
      <c r="C52" s="20">
        <v>81.58</v>
      </c>
      <c r="D52" s="21">
        <v>98.7</v>
      </c>
      <c r="E52" s="22">
        <f t="shared" si="0"/>
        <v>63126.830611111109</v>
      </c>
      <c r="F52" s="23">
        <v>81.599999999999994</v>
      </c>
      <c r="G52" s="22">
        <f t="shared" si="15"/>
        <v>52189.963301587297</v>
      </c>
      <c r="H52" s="20">
        <v>69000</v>
      </c>
      <c r="I52" s="24">
        <f t="shared" si="3"/>
        <v>194.02733254597604</v>
      </c>
      <c r="J52" s="20"/>
      <c r="K52" s="24">
        <f t="shared" si="4"/>
        <v>0</v>
      </c>
      <c r="L52" s="20">
        <v>71000</v>
      </c>
      <c r="M52" s="24">
        <f t="shared" si="5"/>
        <v>199.65131319948259</v>
      </c>
      <c r="N52" s="20">
        <v>75000</v>
      </c>
      <c r="O52" s="24">
        <f t="shared" si="6"/>
        <v>210.89927450649569</v>
      </c>
      <c r="P52" s="22">
        <v>16000</v>
      </c>
      <c r="Q52" s="24">
        <f t="shared" si="7"/>
        <v>44.991845228052412</v>
      </c>
      <c r="R52" s="22">
        <v>6000</v>
      </c>
      <c r="S52" s="24">
        <f t="shared" si="8"/>
        <v>16.871941960519656</v>
      </c>
      <c r="T52" s="22">
        <v>1000</v>
      </c>
      <c r="U52" s="24">
        <f t="shared" si="9"/>
        <v>2.8119903267532758</v>
      </c>
      <c r="V52" s="23">
        <v>108</v>
      </c>
      <c r="W52" s="22">
        <f t="shared" si="2"/>
        <v>69074.951428571425</v>
      </c>
      <c r="X52" s="24">
        <f t="shared" si="10"/>
        <v>194.23809523809521</v>
      </c>
      <c r="Y52" s="23">
        <v>110</v>
      </c>
      <c r="Z52" s="22">
        <f t="shared" si="13"/>
        <v>70354.11719576719</v>
      </c>
      <c r="AA52" s="24">
        <f t="shared" si="11"/>
        <v>197.83509700176364</v>
      </c>
      <c r="AB52" s="20">
        <v>107.5</v>
      </c>
      <c r="AC52" s="22">
        <f t="shared" si="14"/>
        <v>68755.159986772487</v>
      </c>
      <c r="AD52" s="24">
        <f t="shared" si="12"/>
        <v>193.33884479717813</v>
      </c>
      <c r="AE52" s="22"/>
      <c r="AF52" s="22"/>
      <c r="AG52" s="22">
        <v>44</v>
      </c>
      <c r="AH52" s="22">
        <v>114</v>
      </c>
      <c r="AI52" s="22">
        <v>137</v>
      </c>
      <c r="AJ52" s="22">
        <v>175</v>
      </c>
      <c r="AK52" s="22">
        <v>135</v>
      </c>
      <c r="AL52" s="22">
        <v>45</v>
      </c>
      <c r="AM52" s="22">
        <v>5</v>
      </c>
      <c r="AN52" s="25">
        <v>78.5</v>
      </c>
      <c r="AO52" s="25">
        <v>52.2</v>
      </c>
      <c r="AP52" s="26">
        <v>85.2</v>
      </c>
      <c r="AQ52" s="25">
        <v>102</v>
      </c>
      <c r="AR52" s="25">
        <v>104</v>
      </c>
      <c r="AS52" s="25">
        <v>106</v>
      </c>
      <c r="AT52" s="25"/>
    </row>
    <row r="53" spans="2:46">
      <c r="B53" s="11">
        <v>44898</v>
      </c>
      <c r="C53" s="20">
        <v>81.44</v>
      </c>
      <c r="D53" s="21">
        <v>102.9</v>
      </c>
      <c r="E53" s="22">
        <f t="shared" si="0"/>
        <v>65700.136444444448</v>
      </c>
      <c r="F53" s="23">
        <v>84.28</v>
      </c>
      <c r="G53" s="22">
        <f t="shared" si="15"/>
        <v>53811.540325925926</v>
      </c>
      <c r="H53" s="20">
        <v>66000</v>
      </c>
      <c r="I53" s="24">
        <f t="shared" si="3"/>
        <v>185.5913615657162</v>
      </c>
      <c r="J53" s="20"/>
      <c r="K53" s="24">
        <f t="shared" si="4"/>
        <v>0</v>
      </c>
      <c r="L53" s="20">
        <v>70000</v>
      </c>
      <c r="M53" s="24">
        <f t="shared" si="5"/>
        <v>196.83932287272933</v>
      </c>
      <c r="N53" s="20">
        <v>75000</v>
      </c>
      <c r="O53" s="24">
        <f t="shared" si="6"/>
        <v>210.89927450649569</v>
      </c>
      <c r="P53" s="22">
        <v>15000</v>
      </c>
      <c r="Q53" s="24">
        <f t="shared" si="7"/>
        <v>42.179854901299137</v>
      </c>
      <c r="R53" s="22">
        <v>6000</v>
      </c>
      <c r="S53" s="24">
        <f t="shared" si="8"/>
        <v>16.871941960519656</v>
      </c>
      <c r="T53" s="22">
        <v>1000</v>
      </c>
      <c r="U53" s="24">
        <f t="shared" si="9"/>
        <v>2.8119903267532758</v>
      </c>
      <c r="V53" s="23">
        <v>109</v>
      </c>
      <c r="W53" s="22">
        <f t="shared" si="2"/>
        <v>69594.896719576733</v>
      </c>
      <c r="X53" s="24">
        <f t="shared" si="10"/>
        <v>195.70017636684307</v>
      </c>
      <c r="Y53" s="23">
        <v>110</v>
      </c>
      <c r="Z53" s="22">
        <f t="shared" si="13"/>
        <v>70233.38201058202</v>
      </c>
      <c r="AA53" s="24">
        <f t="shared" si="11"/>
        <v>197.49559082892418</v>
      </c>
      <c r="AB53" s="20">
        <v>108</v>
      </c>
      <c r="AC53" s="22">
        <f t="shared" si="14"/>
        <v>68956.411428571431</v>
      </c>
      <c r="AD53" s="24">
        <f t="shared" si="12"/>
        <v>193.9047619047619</v>
      </c>
      <c r="AE53" s="22"/>
      <c r="AF53" s="22"/>
      <c r="AG53" s="22">
        <v>44</v>
      </c>
      <c r="AH53" s="22">
        <v>120</v>
      </c>
      <c r="AI53" s="22">
        <v>145</v>
      </c>
      <c r="AJ53" s="22">
        <v>190</v>
      </c>
      <c r="AK53" s="22">
        <v>135</v>
      </c>
      <c r="AL53" s="22">
        <v>45</v>
      </c>
      <c r="AM53" s="22">
        <v>5</v>
      </c>
      <c r="AN53" s="25">
        <v>77</v>
      </c>
      <c r="AO53" s="25">
        <v>52.7</v>
      </c>
      <c r="AP53" s="26">
        <v>84.14</v>
      </c>
      <c r="AQ53" s="25">
        <v>102</v>
      </c>
      <c r="AR53" s="25">
        <v>104</v>
      </c>
      <c r="AS53" s="25">
        <v>106</v>
      </c>
      <c r="AT53" s="25"/>
    </row>
    <row r="54" spans="2:46">
      <c r="B54" s="11">
        <v>44907</v>
      </c>
      <c r="C54" s="20">
        <v>82.56</v>
      </c>
      <c r="D54" s="21">
        <v>98.9</v>
      </c>
      <c r="E54" s="22">
        <f t="shared" si="0"/>
        <v>64014.610539682544</v>
      </c>
      <c r="F54" s="23">
        <v>80.319999999999993</v>
      </c>
      <c r="G54" s="22">
        <f t="shared" si="15"/>
        <v>51988.407669841268</v>
      </c>
      <c r="H54" s="20">
        <v>65000</v>
      </c>
      <c r="I54" s="24">
        <f t="shared" si="3"/>
        <v>182.77937123896294</v>
      </c>
      <c r="J54" s="20"/>
      <c r="K54" s="24">
        <f t="shared" si="4"/>
        <v>0</v>
      </c>
      <c r="L54" s="20">
        <v>68500</v>
      </c>
      <c r="M54" s="24">
        <f t="shared" si="5"/>
        <v>192.62133738259939</v>
      </c>
      <c r="N54" s="20">
        <v>72000</v>
      </c>
      <c r="O54" s="24">
        <f t="shared" si="6"/>
        <v>202.46330352623588</v>
      </c>
      <c r="P54" s="22">
        <v>15000</v>
      </c>
      <c r="Q54" s="24">
        <f t="shared" si="7"/>
        <v>42.179854901299137</v>
      </c>
      <c r="R54" s="22">
        <v>6000</v>
      </c>
      <c r="S54" s="24">
        <f t="shared" si="8"/>
        <v>16.871941960519656</v>
      </c>
      <c r="T54" s="22">
        <v>1000</v>
      </c>
      <c r="U54" s="24">
        <f t="shared" si="9"/>
        <v>2.8119903267532758</v>
      </c>
      <c r="V54" s="23">
        <v>107</v>
      </c>
      <c r="W54" s="22">
        <f t="shared" si="2"/>
        <v>69257.465396825399</v>
      </c>
      <c r="X54" s="24">
        <f t="shared" si="10"/>
        <v>194.75132275132276</v>
      </c>
      <c r="Y54" s="23">
        <v>108</v>
      </c>
      <c r="Z54" s="22">
        <f t="shared" si="13"/>
        <v>69904.731428571424</v>
      </c>
      <c r="AA54" s="24">
        <f t="shared" si="11"/>
        <v>196.57142857142856</v>
      </c>
      <c r="AB54" s="20">
        <v>106</v>
      </c>
      <c r="AC54" s="22">
        <f t="shared" si="14"/>
        <v>68610.199365079359</v>
      </c>
      <c r="AD54" s="24">
        <f t="shared" si="12"/>
        <v>192.93121693121691</v>
      </c>
      <c r="AE54" s="22"/>
      <c r="AF54" s="22"/>
      <c r="AG54" s="22">
        <v>44</v>
      </c>
      <c r="AH54" s="22">
        <v>130</v>
      </c>
      <c r="AI54" s="22">
        <v>146</v>
      </c>
      <c r="AJ54" s="22">
        <v>200</v>
      </c>
      <c r="AK54" s="22">
        <v>140</v>
      </c>
      <c r="AL54" s="22">
        <v>45</v>
      </c>
      <c r="AM54" s="22">
        <v>5</v>
      </c>
      <c r="AN54" s="25">
        <v>75.900000000000006</v>
      </c>
      <c r="AO54" s="25">
        <v>54.7</v>
      </c>
      <c r="AP54" s="26">
        <v>83.87</v>
      </c>
      <c r="AQ54" s="25">
        <v>97</v>
      </c>
      <c r="AR54" s="25">
        <v>99</v>
      </c>
      <c r="AS54" s="25">
        <v>101</v>
      </c>
      <c r="AT54" s="25"/>
    </row>
    <row r="55" spans="2:46">
      <c r="B55" s="11">
        <v>44914</v>
      </c>
      <c r="C55" s="20">
        <v>82.64</v>
      </c>
      <c r="D55" s="21">
        <v>99.2</v>
      </c>
      <c r="E55" s="22">
        <f t="shared" si="0"/>
        <v>64271.008169312168</v>
      </c>
      <c r="F55" s="23">
        <v>81.92</v>
      </c>
      <c r="G55" s="22">
        <f t="shared" si="15"/>
        <v>53075.413197883601</v>
      </c>
      <c r="H55" s="20">
        <v>64000</v>
      </c>
      <c r="I55" s="24">
        <f t="shared" si="3"/>
        <v>179.96738091220965</v>
      </c>
      <c r="J55" s="20"/>
      <c r="K55" s="24">
        <f t="shared" si="4"/>
        <v>0</v>
      </c>
      <c r="L55" s="20">
        <v>65500</v>
      </c>
      <c r="M55" s="24">
        <f t="shared" si="5"/>
        <v>184.18536640233958</v>
      </c>
      <c r="N55" s="20">
        <v>70000</v>
      </c>
      <c r="O55" s="24">
        <f t="shared" si="6"/>
        <v>196.83932287272933</v>
      </c>
      <c r="P55" s="22">
        <v>15000</v>
      </c>
      <c r="Q55" s="24">
        <f t="shared" si="7"/>
        <v>42.179854901299137</v>
      </c>
      <c r="R55" s="22">
        <v>6000</v>
      </c>
      <c r="S55" s="24">
        <f t="shared" si="8"/>
        <v>16.871941960519656</v>
      </c>
      <c r="T55" s="22">
        <v>1000</v>
      </c>
      <c r="U55" s="24">
        <f t="shared" si="9"/>
        <v>2.8119903267532758</v>
      </c>
      <c r="V55" s="23">
        <v>106</v>
      </c>
      <c r="W55" s="22">
        <f t="shared" si="2"/>
        <v>68676.682116402109</v>
      </c>
      <c r="X55" s="24">
        <f t="shared" si="10"/>
        <v>193.11816578483243</v>
      </c>
      <c r="Y55" s="23">
        <v>107</v>
      </c>
      <c r="Z55" s="22">
        <f t="shared" si="13"/>
        <v>69324.575343915349</v>
      </c>
      <c r="AA55" s="24">
        <f t="shared" si="11"/>
        <v>194.94003527336861</v>
      </c>
      <c r="AB55" s="20">
        <v>105</v>
      </c>
      <c r="AC55" s="22">
        <f t="shared" si="14"/>
        <v>68028.788888888885</v>
      </c>
      <c r="AD55" s="24">
        <f t="shared" si="12"/>
        <v>191.29629629629628</v>
      </c>
      <c r="AE55" s="22"/>
      <c r="AF55" s="22"/>
      <c r="AG55" s="22">
        <v>44</v>
      </c>
      <c r="AH55" s="22">
        <v>130</v>
      </c>
      <c r="AI55" s="22">
        <v>150</v>
      </c>
      <c r="AJ55" s="22">
        <v>200</v>
      </c>
      <c r="AK55" s="22">
        <v>140</v>
      </c>
      <c r="AL55" s="22">
        <v>45</v>
      </c>
      <c r="AM55" s="22">
        <v>5</v>
      </c>
      <c r="AN55" s="25">
        <v>79.900000000000006</v>
      </c>
      <c r="AO55" s="25">
        <v>53.2</v>
      </c>
      <c r="AP55" s="26">
        <v>86.8</v>
      </c>
      <c r="AQ55" s="25">
        <v>102</v>
      </c>
      <c r="AR55" s="25">
        <v>104</v>
      </c>
      <c r="AS55" s="25">
        <v>106</v>
      </c>
      <c r="AT55" s="25"/>
    </row>
    <row r="56" spans="2:46">
      <c r="B56" s="11">
        <v>44921</v>
      </c>
      <c r="C56" s="20">
        <v>82.65</v>
      </c>
      <c r="D56" s="21">
        <v>101.55</v>
      </c>
      <c r="E56" s="22">
        <f t="shared" si="0"/>
        <v>65801.518720238091</v>
      </c>
      <c r="F56" s="23">
        <v>85.21</v>
      </c>
      <c r="G56" s="22">
        <f t="shared" si="15"/>
        <v>55213.662335317458</v>
      </c>
      <c r="H56" s="20">
        <v>57000</v>
      </c>
      <c r="I56" s="24">
        <f t="shared" si="3"/>
        <v>160.28344862493674</v>
      </c>
      <c r="J56" s="20"/>
      <c r="K56" s="24">
        <f t="shared" si="4"/>
        <v>0</v>
      </c>
      <c r="L56" s="20">
        <v>58500</v>
      </c>
      <c r="M56" s="24">
        <f t="shared" si="5"/>
        <v>164.50143411506664</v>
      </c>
      <c r="N56" s="20">
        <v>67000</v>
      </c>
      <c r="O56" s="24">
        <f t="shared" si="6"/>
        <v>188.40335189246949</v>
      </c>
      <c r="P56" s="22">
        <v>15000</v>
      </c>
      <c r="Q56" s="24">
        <f t="shared" si="7"/>
        <v>42.179854901299137</v>
      </c>
      <c r="R56" s="22">
        <v>6000</v>
      </c>
      <c r="S56" s="24">
        <f t="shared" si="8"/>
        <v>16.871941960519656</v>
      </c>
      <c r="T56" s="22">
        <v>1000</v>
      </c>
      <c r="U56" s="24">
        <f t="shared" si="9"/>
        <v>2.8119903267532758</v>
      </c>
      <c r="V56" s="23">
        <v>107</v>
      </c>
      <c r="W56" s="22">
        <f t="shared" si="2"/>
        <v>69332.964087301589</v>
      </c>
      <c r="X56" s="24">
        <f t="shared" si="10"/>
        <v>194.96362433862433</v>
      </c>
      <c r="Y56" s="23">
        <v>108</v>
      </c>
      <c r="Z56" s="22">
        <f t="shared" si="13"/>
        <v>69980.935714285719</v>
      </c>
      <c r="AA56" s="24">
        <f t="shared" si="11"/>
        <v>196.78571428571431</v>
      </c>
      <c r="AB56" s="20">
        <v>106</v>
      </c>
      <c r="AC56" s="22">
        <f t="shared" si="14"/>
        <v>68684.992460317473</v>
      </c>
      <c r="AD56" s="24">
        <f t="shared" si="12"/>
        <v>193.14153439153444</v>
      </c>
      <c r="AE56" s="22"/>
      <c r="AF56" s="22"/>
      <c r="AG56" s="22">
        <v>44</v>
      </c>
      <c r="AH56" s="22">
        <v>130</v>
      </c>
      <c r="AI56" s="22">
        <v>149</v>
      </c>
      <c r="AJ56" s="22">
        <v>200</v>
      </c>
      <c r="AK56" s="22">
        <v>140</v>
      </c>
      <c r="AL56" s="22">
        <v>45</v>
      </c>
      <c r="AM56" s="22">
        <v>5</v>
      </c>
      <c r="AN56" s="25">
        <v>79.7</v>
      </c>
      <c r="AO56" s="25">
        <v>55.9</v>
      </c>
      <c r="AP56" s="26">
        <v>87.55</v>
      </c>
      <c r="AQ56" s="25">
        <v>102</v>
      </c>
      <c r="AR56" s="25">
        <v>104</v>
      </c>
      <c r="AS56" s="25">
        <v>106</v>
      </c>
      <c r="AT56" s="25"/>
    </row>
    <row r="57" spans="2:46">
      <c r="B57" s="11">
        <v>44928</v>
      </c>
      <c r="C57" s="20">
        <v>82.76</v>
      </c>
      <c r="D57" s="21">
        <v>99.25</v>
      </c>
      <c r="E57" s="22">
        <f t="shared" si="0"/>
        <v>64396.776600529105</v>
      </c>
      <c r="F57" s="23">
        <v>83.37</v>
      </c>
      <c r="G57" s="22">
        <f t="shared" si="15"/>
        <v>54093.292344444453</v>
      </c>
      <c r="H57" s="20">
        <v>60000</v>
      </c>
      <c r="I57" s="24">
        <f t="shared" si="3"/>
        <v>168.71941960519655</v>
      </c>
      <c r="J57" s="20"/>
      <c r="K57" s="24">
        <f t="shared" si="4"/>
        <v>0</v>
      </c>
      <c r="L57" s="20">
        <v>62000</v>
      </c>
      <c r="M57" s="24">
        <f t="shared" si="5"/>
        <v>174.3434002587031</v>
      </c>
      <c r="N57" s="20">
        <v>66000</v>
      </c>
      <c r="O57" s="24">
        <f t="shared" si="6"/>
        <v>185.5913615657162</v>
      </c>
      <c r="P57" s="22">
        <v>15000</v>
      </c>
      <c r="Q57" s="24">
        <f t="shared" si="7"/>
        <v>42.179854901299137</v>
      </c>
      <c r="R57" s="22">
        <v>6000</v>
      </c>
      <c r="S57" s="24">
        <f t="shared" si="8"/>
        <v>16.871941960519656</v>
      </c>
      <c r="T57" s="22">
        <v>1000</v>
      </c>
      <c r="U57" s="24">
        <f t="shared" si="9"/>
        <v>2.8119903267532758</v>
      </c>
      <c r="V57" s="23">
        <v>108</v>
      </c>
      <c r="W57" s="22">
        <f t="shared" si="2"/>
        <v>70074.07428571429</v>
      </c>
      <c r="X57" s="24">
        <f t="shared" si="10"/>
        <v>197.04761904761907</v>
      </c>
      <c r="Y57" s="23">
        <v>109</v>
      </c>
      <c r="Z57" s="22">
        <f t="shared" si="13"/>
        <v>70722.908306878307</v>
      </c>
      <c r="AA57" s="24">
        <f t="shared" si="11"/>
        <v>198.87213403880071</v>
      </c>
      <c r="AB57" s="20">
        <v>107</v>
      </c>
      <c r="AC57" s="22">
        <f t="shared" si="14"/>
        <v>69425.240264550273</v>
      </c>
      <c r="AD57" s="24">
        <f t="shared" si="12"/>
        <v>195.22310405643742</v>
      </c>
      <c r="AE57" s="22"/>
      <c r="AF57" s="22"/>
      <c r="AG57" s="22">
        <v>44</v>
      </c>
      <c r="AH57" s="22">
        <v>130</v>
      </c>
      <c r="AI57" s="22">
        <v>142</v>
      </c>
      <c r="AJ57" s="22">
        <v>190</v>
      </c>
      <c r="AK57" s="22">
        <v>140</v>
      </c>
      <c r="AL57" s="22">
        <v>45</v>
      </c>
      <c r="AM57" s="22">
        <v>5</v>
      </c>
      <c r="AN57" s="25">
        <v>77</v>
      </c>
      <c r="AO57" s="25">
        <v>52.7</v>
      </c>
      <c r="AP57" s="26">
        <v>84.14</v>
      </c>
      <c r="AQ57" s="25">
        <v>97</v>
      </c>
      <c r="AR57" s="25">
        <v>99</v>
      </c>
      <c r="AS57" s="25">
        <v>101</v>
      </c>
      <c r="AT57" s="25"/>
    </row>
    <row r="58" spans="2:46">
      <c r="B58" s="11">
        <v>44935</v>
      </c>
      <c r="C58" s="20">
        <v>82.37</v>
      </c>
      <c r="D58" s="21">
        <v>99.5</v>
      </c>
      <c r="E58" s="22">
        <f t="shared" si="0"/>
        <v>64254.75595899472</v>
      </c>
      <c r="F58" s="23">
        <v>85.38</v>
      </c>
      <c r="G58" s="22">
        <f t="shared" si="15"/>
        <v>55136.392600793653</v>
      </c>
      <c r="H58" s="20">
        <v>62500</v>
      </c>
      <c r="I58" s="24">
        <f t="shared" si="3"/>
        <v>175.74939542207974</v>
      </c>
      <c r="J58" s="20"/>
      <c r="K58" s="24">
        <f t="shared" si="4"/>
        <v>0</v>
      </c>
      <c r="L58" s="20">
        <v>63500</v>
      </c>
      <c r="M58" s="24">
        <f t="shared" si="5"/>
        <v>178.56138574883303</v>
      </c>
      <c r="N58" s="20">
        <v>67000</v>
      </c>
      <c r="O58" s="24">
        <f t="shared" si="6"/>
        <v>188.40335189246949</v>
      </c>
      <c r="P58" s="22">
        <v>15000</v>
      </c>
      <c r="Q58" s="24">
        <f t="shared" si="7"/>
        <v>42.179854901299137</v>
      </c>
      <c r="R58" s="22">
        <v>6000</v>
      </c>
      <c r="S58" s="24">
        <f t="shared" si="8"/>
        <v>16.871941960519656</v>
      </c>
      <c r="T58" s="22">
        <v>1000</v>
      </c>
      <c r="U58" s="24">
        <f t="shared" si="9"/>
        <v>2.8119903267532758</v>
      </c>
      <c r="V58" s="23">
        <v>107</v>
      </c>
      <c r="W58" s="22">
        <f t="shared" si="2"/>
        <v>69098.079272486779</v>
      </c>
      <c r="X58" s="24">
        <f t="shared" si="10"/>
        <v>194.30313051146385</v>
      </c>
      <c r="Y58" s="23">
        <v>108</v>
      </c>
      <c r="Z58" s="22">
        <f t="shared" si="13"/>
        <v>69743.855714285717</v>
      </c>
      <c r="AA58" s="24">
        <f t="shared" si="11"/>
        <v>196.11904761904762</v>
      </c>
      <c r="AB58" s="20">
        <v>106</v>
      </c>
      <c r="AC58" s="22">
        <f t="shared" si="14"/>
        <v>68452.30283068784</v>
      </c>
      <c r="AD58" s="24">
        <f t="shared" si="12"/>
        <v>192.48721340388011</v>
      </c>
      <c r="AE58" s="22"/>
      <c r="AF58" s="22"/>
      <c r="AG58" s="22">
        <v>45</v>
      </c>
      <c r="AH58" s="22">
        <v>130</v>
      </c>
      <c r="AI58" s="22">
        <v>145</v>
      </c>
      <c r="AJ58" s="22">
        <v>200</v>
      </c>
      <c r="AK58" s="22">
        <v>140</v>
      </c>
      <c r="AL58" s="22">
        <v>45</v>
      </c>
      <c r="AM58" s="22">
        <v>5</v>
      </c>
      <c r="AN58" s="25">
        <v>77.7</v>
      </c>
      <c r="AO58" s="25">
        <v>53.9</v>
      </c>
      <c r="AP58" s="26">
        <v>85.15</v>
      </c>
      <c r="AQ58" s="25">
        <v>97</v>
      </c>
      <c r="AR58" s="25">
        <v>99</v>
      </c>
      <c r="AS58" s="25">
        <v>101</v>
      </c>
      <c r="AT58" s="25"/>
    </row>
    <row r="59" spans="2:46">
      <c r="B59" s="11">
        <v>44942</v>
      </c>
      <c r="C59" s="20">
        <v>81.64</v>
      </c>
      <c r="D59" s="21">
        <v>97.85</v>
      </c>
      <c r="E59" s="22">
        <f t="shared" si="0"/>
        <v>62629.213489417984</v>
      </c>
      <c r="F59" s="23" t="s">
        <v>49</v>
      </c>
      <c r="G59" s="22" t="s">
        <v>49</v>
      </c>
      <c r="H59" s="20">
        <v>61500</v>
      </c>
      <c r="I59" s="24">
        <f t="shared" si="3"/>
        <v>172.93740509532648</v>
      </c>
      <c r="J59" s="20"/>
      <c r="K59" s="24">
        <f t="shared" si="4"/>
        <v>0</v>
      </c>
      <c r="L59" s="20">
        <v>62500</v>
      </c>
      <c r="M59" s="24">
        <f t="shared" si="5"/>
        <v>175.74939542207974</v>
      </c>
      <c r="N59" s="20">
        <v>66000</v>
      </c>
      <c r="O59" s="24">
        <f t="shared" si="6"/>
        <v>185.5913615657162</v>
      </c>
      <c r="P59" s="22">
        <v>15000</v>
      </c>
      <c r="Q59" s="24">
        <f t="shared" si="7"/>
        <v>42.179854901299137</v>
      </c>
      <c r="R59" s="22">
        <v>6000</v>
      </c>
      <c r="S59" s="24">
        <f t="shared" si="8"/>
        <v>16.871941960519656</v>
      </c>
      <c r="T59" s="22">
        <v>1000</v>
      </c>
      <c r="U59" s="24">
        <f t="shared" si="9"/>
        <v>2.8119903267532758</v>
      </c>
      <c r="V59" s="23">
        <v>108</v>
      </c>
      <c r="W59" s="22">
        <f t="shared" si="2"/>
        <v>69125.754285714283</v>
      </c>
      <c r="X59" s="24">
        <f t="shared" si="10"/>
        <v>194.38095238095238</v>
      </c>
      <c r="Y59" s="23">
        <v>102</v>
      </c>
      <c r="Z59" s="22">
        <f t="shared" si="13"/>
        <v>65285.434603174595</v>
      </c>
      <c r="AA59" s="24">
        <f t="shared" si="11"/>
        <v>183.58201058201055</v>
      </c>
      <c r="AB59" s="20">
        <v>106.3</v>
      </c>
      <c r="AC59" s="22">
        <f t="shared" si="14"/>
        <v>68037.663708994718</v>
      </c>
      <c r="AD59" s="24">
        <f t="shared" si="12"/>
        <v>191.32125220458556</v>
      </c>
      <c r="AE59" s="22"/>
      <c r="AF59" s="22"/>
      <c r="AG59" s="22">
        <v>50</v>
      </c>
      <c r="AH59" s="22">
        <v>127</v>
      </c>
      <c r="AI59" s="22">
        <v>148</v>
      </c>
      <c r="AJ59" s="22">
        <v>160</v>
      </c>
      <c r="AK59" s="22">
        <v>130</v>
      </c>
      <c r="AL59" s="22">
        <v>48</v>
      </c>
      <c r="AM59" s="22">
        <v>5</v>
      </c>
      <c r="AN59" s="25">
        <v>77.599999999999994</v>
      </c>
      <c r="AO59" s="25">
        <v>55.8</v>
      </c>
      <c r="AP59" s="26">
        <v>85.71</v>
      </c>
      <c r="AQ59" s="25">
        <v>99</v>
      </c>
      <c r="AR59" s="25">
        <v>101</v>
      </c>
      <c r="AS59" s="25">
        <v>103</v>
      </c>
      <c r="AT59" s="25"/>
    </row>
    <row r="60" spans="2:46">
      <c r="B60" s="11">
        <v>44949</v>
      </c>
      <c r="C60" s="20">
        <v>81.349999999999994</v>
      </c>
      <c r="D60" s="21">
        <v>99.1</v>
      </c>
      <c r="E60" s="22">
        <f t="shared" si="0"/>
        <v>63203.967850529087</v>
      </c>
      <c r="F60" s="23">
        <v>86.35</v>
      </c>
      <c r="G60" s="22">
        <f t="shared" ref="G60:G123" si="16">C60*$H$4*F60/0.4536/100</f>
        <v>55072.276729497353</v>
      </c>
      <c r="H60" s="20">
        <v>61300</v>
      </c>
      <c r="I60" s="24">
        <f t="shared" si="3"/>
        <v>172.37500702997582</v>
      </c>
      <c r="J60" s="20"/>
      <c r="K60" s="24">
        <f t="shared" si="4"/>
        <v>0</v>
      </c>
      <c r="L60" s="20">
        <v>62300</v>
      </c>
      <c r="M60" s="24">
        <f t="shared" si="5"/>
        <v>175.18699735672908</v>
      </c>
      <c r="N60" s="20">
        <v>67000</v>
      </c>
      <c r="O60" s="24">
        <f t="shared" si="6"/>
        <v>188.40335189246949</v>
      </c>
      <c r="P60" s="22">
        <v>15000</v>
      </c>
      <c r="Q60" s="24">
        <f t="shared" si="7"/>
        <v>42.179854901299137</v>
      </c>
      <c r="R60" s="22">
        <v>6000</v>
      </c>
      <c r="S60" s="24">
        <f t="shared" si="8"/>
        <v>16.871941960519656</v>
      </c>
      <c r="T60" s="22">
        <v>1000</v>
      </c>
      <c r="U60" s="24">
        <f t="shared" si="9"/>
        <v>2.8119903267532758</v>
      </c>
      <c r="V60" s="23">
        <v>110</v>
      </c>
      <c r="W60" s="22">
        <f t="shared" si="2"/>
        <v>70155.766534391529</v>
      </c>
      <c r="X60" s="24">
        <f t="shared" si="10"/>
        <v>197.27733686067018</v>
      </c>
      <c r="Y60" s="23">
        <v>105.75</v>
      </c>
      <c r="Z60" s="22">
        <f t="shared" si="13"/>
        <v>67445.202827380956</v>
      </c>
      <c r="AA60" s="24">
        <f t="shared" si="11"/>
        <v>189.65525793650795</v>
      </c>
      <c r="AB60" s="20">
        <v>109</v>
      </c>
      <c r="AC60" s="22">
        <f t="shared" si="14"/>
        <v>69517.986838624332</v>
      </c>
      <c r="AD60" s="24">
        <f t="shared" si="12"/>
        <v>195.48390652557316</v>
      </c>
      <c r="AE60" s="22"/>
      <c r="AF60" s="22"/>
      <c r="AG60" s="22">
        <v>50</v>
      </c>
      <c r="AH60" s="22">
        <v>127</v>
      </c>
      <c r="AI60" s="22">
        <v>148</v>
      </c>
      <c r="AJ60" s="22">
        <v>160</v>
      </c>
      <c r="AK60" s="22">
        <v>130</v>
      </c>
      <c r="AL60" s="22">
        <v>48</v>
      </c>
      <c r="AM60" s="22">
        <v>5</v>
      </c>
      <c r="AN60" s="25">
        <v>77.599999999999994</v>
      </c>
      <c r="AO60" s="25">
        <v>55.8</v>
      </c>
      <c r="AP60" s="26">
        <v>85.71</v>
      </c>
      <c r="AQ60" s="25">
        <v>99</v>
      </c>
      <c r="AR60" s="25">
        <v>101</v>
      </c>
      <c r="AS60" s="25">
        <v>103</v>
      </c>
      <c r="AT60" s="25"/>
    </row>
    <row r="61" spans="2:46">
      <c r="B61" s="11">
        <v>44956</v>
      </c>
      <c r="C61" s="20">
        <v>81.5</v>
      </c>
      <c r="D61" s="21">
        <v>102.4</v>
      </c>
      <c r="E61" s="22">
        <f t="shared" si="0"/>
        <v>65429.062433862433</v>
      </c>
      <c r="F61" s="23">
        <v>85.8</v>
      </c>
      <c r="G61" s="22">
        <f t="shared" si="16"/>
        <v>54822.398015873012</v>
      </c>
      <c r="H61" s="20">
        <v>61500</v>
      </c>
      <c r="I61" s="24">
        <f t="shared" si="3"/>
        <v>172.93740509532648</v>
      </c>
      <c r="J61" s="20"/>
      <c r="K61" s="24">
        <f t="shared" si="4"/>
        <v>0</v>
      </c>
      <c r="L61" s="20">
        <v>62500</v>
      </c>
      <c r="M61" s="24">
        <f t="shared" si="5"/>
        <v>175.74939542207974</v>
      </c>
      <c r="N61" s="20">
        <v>67000</v>
      </c>
      <c r="O61" s="24">
        <f t="shared" si="6"/>
        <v>188.40335189246949</v>
      </c>
      <c r="P61" s="22">
        <v>15000</v>
      </c>
      <c r="Q61" s="24">
        <f t="shared" si="7"/>
        <v>42.179854901299137</v>
      </c>
      <c r="R61" s="22">
        <v>6000</v>
      </c>
      <c r="S61" s="24">
        <f t="shared" si="8"/>
        <v>16.871941960519656</v>
      </c>
      <c r="T61" s="22">
        <v>1000</v>
      </c>
      <c r="U61" s="24">
        <f t="shared" si="9"/>
        <v>2.8119903267532758</v>
      </c>
      <c r="V61" s="23">
        <v>113</v>
      </c>
      <c r="W61" s="22">
        <f t="shared" si="2"/>
        <v>72201.992724867712</v>
      </c>
      <c r="X61" s="24">
        <f t="shared" si="10"/>
        <v>203.0313051146384</v>
      </c>
      <c r="Y61" s="23">
        <v>106</v>
      </c>
      <c r="Z61" s="22">
        <f t="shared" si="13"/>
        <v>67729.302910052895</v>
      </c>
      <c r="AA61" s="24">
        <f t="shared" si="11"/>
        <v>190.45414462081123</v>
      </c>
      <c r="AB61" s="20">
        <v>110.75</v>
      </c>
      <c r="AC61" s="22">
        <f t="shared" si="14"/>
        <v>70764.342427248674</v>
      </c>
      <c r="AD61" s="24">
        <f t="shared" si="12"/>
        <v>198.98864638447969</v>
      </c>
      <c r="AE61" s="22"/>
      <c r="AF61" s="22"/>
      <c r="AG61" s="22">
        <v>50</v>
      </c>
      <c r="AH61" s="22">
        <v>127</v>
      </c>
      <c r="AI61" s="22">
        <v>148</v>
      </c>
      <c r="AJ61" s="22">
        <v>160</v>
      </c>
      <c r="AK61" s="22">
        <v>130</v>
      </c>
      <c r="AL61" s="22">
        <v>48</v>
      </c>
      <c r="AM61" s="22">
        <v>5</v>
      </c>
      <c r="AN61" s="25">
        <v>82</v>
      </c>
      <c r="AO61" s="25">
        <v>54.1</v>
      </c>
      <c r="AP61" s="26">
        <v>88.91</v>
      </c>
      <c r="AQ61" s="25">
        <v>100</v>
      </c>
      <c r="AR61" s="25">
        <v>102</v>
      </c>
      <c r="AS61" s="25">
        <v>104</v>
      </c>
      <c r="AT61" s="25"/>
    </row>
    <row r="62" spans="2:46">
      <c r="B62" s="11">
        <v>44963</v>
      </c>
      <c r="C62" s="20">
        <v>82.62</v>
      </c>
      <c r="D62" s="21">
        <v>101.7</v>
      </c>
      <c r="E62" s="22">
        <f t="shared" si="0"/>
        <v>65874.794785714286</v>
      </c>
      <c r="F62" s="23">
        <v>85.03</v>
      </c>
      <c r="G62" s="22">
        <f t="shared" si="16"/>
        <v>55077.028521428576</v>
      </c>
      <c r="H62" s="20">
        <v>60500</v>
      </c>
      <c r="I62" s="24">
        <f t="shared" si="3"/>
        <v>170.12541476857319</v>
      </c>
      <c r="J62" s="20"/>
      <c r="K62" s="24">
        <f t="shared" si="4"/>
        <v>0</v>
      </c>
      <c r="L62" s="20">
        <v>61500</v>
      </c>
      <c r="M62" s="24">
        <f t="shared" si="5"/>
        <v>172.93740509532648</v>
      </c>
      <c r="N62" s="20">
        <v>69000</v>
      </c>
      <c r="O62" s="24">
        <f t="shared" si="6"/>
        <v>194.02733254597604</v>
      </c>
      <c r="P62" s="22">
        <v>14000</v>
      </c>
      <c r="Q62" s="24">
        <f t="shared" si="7"/>
        <v>39.367864574545862</v>
      </c>
      <c r="R62" s="22">
        <v>6000</v>
      </c>
      <c r="S62" s="24">
        <f t="shared" si="8"/>
        <v>16.871941960519656</v>
      </c>
      <c r="T62" s="22">
        <v>1000</v>
      </c>
      <c r="U62" s="24">
        <f t="shared" si="9"/>
        <v>2.8119903267532758</v>
      </c>
      <c r="V62" s="23">
        <v>11.5</v>
      </c>
      <c r="W62" s="22">
        <f t="shared" si="2"/>
        <v>7448.9689285714285</v>
      </c>
      <c r="X62" s="24">
        <f t="shared" si="10"/>
        <v>20.946428571428569</v>
      </c>
      <c r="Y62" s="23">
        <v>104</v>
      </c>
      <c r="Z62" s="22">
        <f t="shared" si="13"/>
        <v>67364.588571428569</v>
      </c>
      <c r="AA62" s="24">
        <f t="shared" si="11"/>
        <v>189.42857142857142</v>
      </c>
      <c r="AB62" s="20">
        <v>108.25</v>
      </c>
      <c r="AC62" s="22">
        <f t="shared" si="14"/>
        <v>70117.468392857147</v>
      </c>
      <c r="AD62" s="24">
        <f t="shared" si="12"/>
        <v>197.16964285714286</v>
      </c>
      <c r="AE62" s="22"/>
      <c r="AF62" s="22"/>
      <c r="AG62" s="22">
        <v>50</v>
      </c>
      <c r="AH62" s="22">
        <v>127</v>
      </c>
      <c r="AI62" s="22">
        <v>148</v>
      </c>
      <c r="AJ62" s="22">
        <v>160</v>
      </c>
      <c r="AK62" s="22">
        <v>130</v>
      </c>
      <c r="AL62" s="22">
        <v>48</v>
      </c>
      <c r="AM62" s="22">
        <v>5</v>
      </c>
      <c r="AN62" s="25">
        <v>82</v>
      </c>
      <c r="AO62" s="25">
        <v>54.1</v>
      </c>
      <c r="AP62" s="26">
        <v>88.91</v>
      </c>
      <c r="AQ62" s="25">
        <v>100</v>
      </c>
      <c r="AR62" s="25">
        <v>102</v>
      </c>
      <c r="AS62" s="25">
        <v>104</v>
      </c>
      <c r="AT62" s="25"/>
    </row>
    <row r="63" spans="2:46">
      <c r="B63" s="11">
        <v>44970</v>
      </c>
      <c r="C63" s="20">
        <v>82.74</v>
      </c>
      <c r="D63" s="21">
        <v>100.85</v>
      </c>
      <c r="E63" s="22">
        <f t="shared" si="0"/>
        <v>65419.097861111099</v>
      </c>
      <c r="F63" s="23">
        <v>84.84</v>
      </c>
      <c r="G63" s="22">
        <f t="shared" si="16"/>
        <v>55033.775533333326</v>
      </c>
      <c r="H63" s="20">
        <v>61500</v>
      </c>
      <c r="I63" s="24">
        <f t="shared" si="3"/>
        <v>172.93740509532648</v>
      </c>
      <c r="J63" s="20"/>
      <c r="K63" s="24">
        <f t="shared" si="4"/>
        <v>0</v>
      </c>
      <c r="L63" s="20">
        <v>62500</v>
      </c>
      <c r="M63" s="24">
        <f t="shared" si="5"/>
        <v>175.74939542207974</v>
      </c>
      <c r="N63" s="20">
        <v>69000</v>
      </c>
      <c r="O63" s="24">
        <f t="shared" si="6"/>
        <v>194.02733254597604</v>
      </c>
      <c r="P63" s="22">
        <v>14000</v>
      </c>
      <c r="Q63" s="24">
        <f t="shared" si="7"/>
        <v>39.367864574545862</v>
      </c>
      <c r="R63" s="22">
        <v>6000</v>
      </c>
      <c r="S63" s="24">
        <f t="shared" si="8"/>
        <v>16.871941960519656</v>
      </c>
      <c r="T63" s="22">
        <v>1000</v>
      </c>
      <c r="U63" s="24">
        <f t="shared" si="9"/>
        <v>2.8119903267532758</v>
      </c>
      <c r="V63" s="23">
        <v>111.5</v>
      </c>
      <c r="W63" s="22">
        <f t="shared" si="2"/>
        <v>72327.510277777765</v>
      </c>
      <c r="X63" s="24">
        <f t="shared" si="10"/>
        <v>203.38425925925921</v>
      </c>
      <c r="Y63" s="23">
        <v>104</v>
      </c>
      <c r="Z63" s="22">
        <f t="shared" si="13"/>
        <v>67462.431111111102</v>
      </c>
      <c r="AA63" s="24">
        <f t="shared" si="11"/>
        <v>189.70370370370367</v>
      </c>
      <c r="AB63" s="20">
        <v>108.25</v>
      </c>
      <c r="AC63" s="22">
        <f t="shared" si="14"/>
        <v>70219.309305555551</v>
      </c>
      <c r="AD63" s="24">
        <f t="shared" si="12"/>
        <v>197.4560185185185</v>
      </c>
      <c r="AE63" s="22"/>
      <c r="AF63" s="22"/>
      <c r="AG63" s="22">
        <v>50</v>
      </c>
      <c r="AH63" s="22">
        <v>127</v>
      </c>
      <c r="AI63" s="22">
        <v>148</v>
      </c>
      <c r="AJ63" s="22">
        <v>160</v>
      </c>
      <c r="AK63" s="22">
        <v>130</v>
      </c>
      <c r="AL63" s="22">
        <v>48</v>
      </c>
      <c r="AM63" s="22">
        <v>5</v>
      </c>
      <c r="AN63" s="25">
        <v>82</v>
      </c>
      <c r="AO63" s="25">
        <v>56.6</v>
      </c>
      <c r="AP63" s="26">
        <v>89.76</v>
      </c>
      <c r="AQ63" s="25">
        <v>100</v>
      </c>
      <c r="AR63" s="25">
        <v>102</v>
      </c>
      <c r="AS63" s="25">
        <v>104</v>
      </c>
      <c r="AT63" s="25"/>
    </row>
    <row r="64" spans="2:46">
      <c r="B64" s="11">
        <v>44978</v>
      </c>
      <c r="C64" s="20">
        <v>82.87</v>
      </c>
      <c r="D64" s="21">
        <v>96.85</v>
      </c>
      <c r="E64" s="22">
        <f t="shared" si="0"/>
        <v>62923.097826058212</v>
      </c>
      <c r="F64" s="23">
        <v>80.25</v>
      </c>
      <c r="G64" s="22">
        <f t="shared" si="16"/>
        <v>52138.137331349215</v>
      </c>
      <c r="H64" s="20">
        <v>61200</v>
      </c>
      <c r="I64" s="24">
        <f t="shared" si="3"/>
        <v>172.09380799730047</v>
      </c>
      <c r="J64" s="20"/>
      <c r="K64" s="24">
        <f t="shared" si="4"/>
        <v>0</v>
      </c>
      <c r="L64" s="20">
        <v>62200</v>
      </c>
      <c r="M64" s="24">
        <f t="shared" si="5"/>
        <v>174.90579832405376</v>
      </c>
      <c r="N64" s="20">
        <v>73500</v>
      </c>
      <c r="O64" s="24">
        <f t="shared" si="6"/>
        <v>206.68128901636578</v>
      </c>
      <c r="P64" s="22">
        <v>14000</v>
      </c>
      <c r="Q64" s="24">
        <f t="shared" si="7"/>
        <v>39.367864574545862</v>
      </c>
      <c r="R64" s="22">
        <v>6000</v>
      </c>
      <c r="S64" s="24">
        <f t="shared" si="8"/>
        <v>16.871941960519656</v>
      </c>
      <c r="T64" s="22">
        <v>1000</v>
      </c>
      <c r="U64" s="24">
        <f t="shared" si="9"/>
        <v>2.8119903267532758</v>
      </c>
      <c r="V64" s="23">
        <v>107.5</v>
      </c>
      <c r="W64" s="22">
        <f t="shared" si="2"/>
        <v>69842.36464947091</v>
      </c>
      <c r="X64" s="24">
        <f t="shared" si="10"/>
        <v>196.39605379188714</v>
      </c>
      <c r="Y64" s="23">
        <v>100</v>
      </c>
      <c r="Z64" s="22">
        <f t="shared" si="13"/>
        <v>64969.641534391536</v>
      </c>
      <c r="AA64" s="24">
        <f t="shared" si="11"/>
        <v>182.69400352733686</v>
      </c>
      <c r="AB64" s="20">
        <v>104.75</v>
      </c>
      <c r="AC64" s="22">
        <f t="shared" si="14"/>
        <v>68055.699507275145</v>
      </c>
      <c r="AD64" s="24">
        <f t="shared" si="12"/>
        <v>191.3719686948854</v>
      </c>
      <c r="AE64" s="22"/>
      <c r="AF64" s="22"/>
      <c r="AG64" s="22">
        <v>55</v>
      </c>
      <c r="AH64" s="22">
        <v>134</v>
      </c>
      <c r="AI64" s="22">
        <v>152</v>
      </c>
      <c r="AJ64" s="22">
        <v>168</v>
      </c>
      <c r="AK64" s="22">
        <v>142</v>
      </c>
      <c r="AL64" s="22">
        <v>50</v>
      </c>
      <c r="AM64" s="22">
        <v>5</v>
      </c>
      <c r="AN64" s="25">
        <v>80.7</v>
      </c>
      <c r="AO64" s="25">
        <v>54.1</v>
      </c>
      <c r="AP64" s="26">
        <v>87.8</v>
      </c>
      <c r="AQ64" s="25">
        <v>100</v>
      </c>
      <c r="AR64" s="25">
        <v>102</v>
      </c>
      <c r="AS64" s="25">
        <v>104</v>
      </c>
      <c r="AT64" s="25"/>
    </row>
    <row r="65" spans="2:46">
      <c r="B65" s="11">
        <v>44985</v>
      </c>
      <c r="C65" s="20">
        <v>82.58</v>
      </c>
      <c r="D65" s="21">
        <v>99.35</v>
      </c>
      <c r="E65" s="22">
        <f t="shared" si="0"/>
        <v>64321.458228835974</v>
      </c>
      <c r="F65" s="23">
        <v>84.19</v>
      </c>
      <c r="G65" s="22">
        <f t="shared" si="16"/>
        <v>54506.52811560846</v>
      </c>
      <c r="H65" s="20">
        <v>61500</v>
      </c>
      <c r="I65" s="24">
        <f t="shared" si="3"/>
        <v>172.93740509532648</v>
      </c>
      <c r="J65" s="20"/>
      <c r="K65" s="24">
        <f t="shared" si="4"/>
        <v>0</v>
      </c>
      <c r="L65" s="20">
        <v>62500</v>
      </c>
      <c r="M65" s="24">
        <f t="shared" si="5"/>
        <v>175.74939542207974</v>
      </c>
      <c r="N65" s="20">
        <v>72500</v>
      </c>
      <c r="O65" s="24">
        <f t="shared" si="6"/>
        <v>203.86929868961249</v>
      </c>
      <c r="P65" s="22">
        <v>12500</v>
      </c>
      <c r="Q65" s="24">
        <f t="shared" si="7"/>
        <v>35.14987908441595</v>
      </c>
      <c r="R65" s="22">
        <v>6000</v>
      </c>
      <c r="S65" s="24">
        <f t="shared" si="8"/>
        <v>16.871941960519656</v>
      </c>
      <c r="T65" s="22">
        <v>1000</v>
      </c>
      <c r="U65" s="24">
        <f t="shared" si="9"/>
        <v>2.8119903267532758</v>
      </c>
      <c r="V65" s="23">
        <v>111</v>
      </c>
      <c r="W65" s="22">
        <f t="shared" si="2"/>
        <v>71863.934206349208</v>
      </c>
      <c r="X65" s="24">
        <f t="shared" si="10"/>
        <v>202.08068783068782</v>
      </c>
      <c r="Y65" s="23">
        <v>104</v>
      </c>
      <c r="Z65" s="22">
        <f t="shared" si="13"/>
        <v>67331.974391534401</v>
      </c>
      <c r="AA65" s="24">
        <f t="shared" si="11"/>
        <v>189.33686067019403</v>
      </c>
      <c r="AB65" s="20">
        <v>108.25</v>
      </c>
      <c r="AC65" s="22">
        <f t="shared" si="14"/>
        <v>70083.521421957674</v>
      </c>
      <c r="AD65" s="24">
        <f t="shared" si="12"/>
        <v>197.07418430335096</v>
      </c>
      <c r="AE65" s="22"/>
      <c r="AF65" s="22"/>
      <c r="AG65" s="22">
        <v>55</v>
      </c>
      <c r="AH65" s="22">
        <v>134</v>
      </c>
      <c r="AI65" s="22">
        <v>152</v>
      </c>
      <c r="AJ65" s="22">
        <v>168</v>
      </c>
      <c r="AK65" s="22">
        <v>142</v>
      </c>
      <c r="AL65" s="22">
        <v>50</v>
      </c>
      <c r="AM65" s="22">
        <v>5</v>
      </c>
      <c r="AN65" s="25">
        <v>82.5</v>
      </c>
      <c r="AO65" s="25">
        <v>56.4</v>
      </c>
      <c r="AP65" s="26">
        <v>90.19</v>
      </c>
      <c r="AQ65" s="25">
        <v>100</v>
      </c>
      <c r="AR65" s="25">
        <v>102</v>
      </c>
      <c r="AS65" s="25">
        <v>104</v>
      </c>
      <c r="AT65" s="25"/>
    </row>
    <row r="66" spans="2:46">
      <c r="B66" s="11">
        <v>44991</v>
      </c>
      <c r="C66" s="20">
        <v>81.89</v>
      </c>
      <c r="D66" s="21">
        <v>98.4</v>
      </c>
      <c r="E66" s="22">
        <f t="shared" si="0"/>
        <v>63174.1054920635</v>
      </c>
      <c r="F66" s="23">
        <v>84.3</v>
      </c>
      <c r="G66" s="22">
        <f t="shared" si="16"/>
        <v>54121.718424603176</v>
      </c>
      <c r="H66" s="20">
        <v>61500</v>
      </c>
      <c r="I66" s="24">
        <f t="shared" si="3"/>
        <v>172.93740509532648</v>
      </c>
      <c r="J66" s="20"/>
      <c r="K66" s="24">
        <f t="shared" si="4"/>
        <v>0</v>
      </c>
      <c r="L66" s="20">
        <v>62500</v>
      </c>
      <c r="M66" s="24">
        <f t="shared" si="5"/>
        <v>175.74939542207974</v>
      </c>
      <c r="N66" s="20">
        <v>72500</v>
      </c>
      <c r="O66" s="24">
        <f t="shared" si="6"/>
        <v>203.86929868961249</v>
      </c>
      <c r="P66" s="22">
        <v>12500</v>
      </c>
      <c r="Q66" s="24">
        <f t="shared" si="7"/>
        <v>35.14987908441595</v>
      </c>
      <c r="R66" s="22">
        <v>6000</v>
      </c>
      <c r="S66" s="24">
        <f t="shared" si="8"/>
        <v>16.871941960519656</v>
      </c>
      <c r="T66" s="22">
        <v>1000</v>
      </c>
      <c r="U66" s="24">
        <f t="shared" si="9"/>
        <v>2.8119903267532758</v>
      </c>
      <c r="V66" s="23">
        <v>107.8</v>
      </c>
      <c r="W66" s="22">
        <f t="shared" si="2"/>
        <v>69209.030203703704</v>
      </c>
      <c r="X66" s="24">
        <f t="shared" si="10"/>
        <v>194.61512345679012</v>
      </c>
      <c r="Y66" s="23">
        <v>107.5</v>
      </c>
      <c r="Z66" s="22">
        <f t="shared" si="13"/>
        <v>69016.426223544971</v>
      </c>
      <c r="AA66" s="24">
        <f t="shared" si="11"/>
        <v>194.0735229276896</v>
      </c>
      <c r="AB66" s="20">
        <v>107.5</v>
      </c>
      <c r="AC66" s="22">
        <f t="shared" si="14"/>
        <v>69016.426223544971</v>
      </c>
      <c r="AD66" s="24">
        <f t="shared" si="12"/>
        <v>194.0735229276896</v>
      </c>
      <c r="AE66" s="22"/>
      <c r="AF66" s="22"/>
      <c r="AG66" s="22">
        <v>50</v>
      </c>
      <c r="AH66" s="22">
        <v>134</v>
      </c>
      <c r="AI66" s="22">
        <v>152</v>
      </c>
      <c r="AJ66" s="22">
        <v>168</v>
      </c>
      <c r="AK66" s="22">
        <v>142</v>
      </c>
      <c r="AL66" s="22">
        <v>50</v>
      </c>
      <c r="AM66" s="22">
        <v>5</v>
      </c>
      <c r="AN66" s="25">
        <v>82.5</v>
      </c>
      <c r="AO66" s="25">
        <v>56.4</v>
      </c>
      <c r="AP66" s="26">
        <v>90.19</v>
      </c>
      <c r="AQ66" s="25">
        <v>100</v>
      </c>
      <c r="AR66" s="25">
        <v>102</v>
      </c>
      <c r="AS66" s="25">
        <v>104</v>
      </c>
      <c r="AT66" s="25"/>
    </row>
    <row r="67" spans="2:46">
      <c r="B67" s="11">
        <v>44998</v>
      </c>
      <c r="C67" s="20">
        <v>81.94</v>
      </c>
      <c r="D67" s="21">
        <v>96.95</v>
      </c>
      <c r="E67" s="22">
        <f t="shared" si="0"/>
        <v>62281.190398148152</v>
      </c>
      <c r="F67" s="23">
        <v>84.3</v>
      </c>
      <c r="G67" s="22">
        <f t="shared" si="16"/>
        <v>54154.763801587302</v>
      </c>
      <c r="H67" s="20">
        <v>60500</v>
      </c>
      <c r="I67" s="24">
        <f t="shared" si="3"/>
        <v>170.12541476857319</v>
      </c>
      <c r="J67" s="20"/>
      <c r="K67" s="24">
        <f t="shared" si="4"/>
        <v>0</v>
      </c>
      <c r="L67" s="20">
        <v>61500</v>
      </c>
      <c r="M67" s="24">
        <f t="shared" si="5"/>
        <v>172.93740509532648</v>
      </c>
      <c r="N67" s="20">
        <v>72500</v>
      </c>
      <c r="O67" s="24">
        <f t="shared" si="6"/>
        <v>203.86929868961249</v>
      </c>
      <c r="P67" s="22">
        <v>11500</v>
      </c>
      <c r="Q67" s="24">
        <f t="shared" si="7"/>
        <v>32.337888757662675</v>
      </c>
      <c r="R67" s="22">
        <v>6000</v>
      </c>
      <c r="S67" s="24">
        <f t="shared" si="8"/>
        <v>16.871941960519656</v>
      </c>
      <c r="T67" s="22">
        <v>1000</v>
      </c>
      <c r="U67" s="24">
        <f t="shared" si="9"/>
        <v>2.8119903267532758</v>
      </c>
      <c r="V67" s="23">
        <v>102</v>
      </c>
      <c r="W67" s="22">
        <f t="shared" si="2"/>
        <v>65525.336984126989</v>
      </c>
      <c r="X67" s="24">
        <f t="shared" si="10"/>
        <v>184.25661375661377</v>
      </c>
      <c r="Y67" s="23">
        <v>97</v>
      </c>
      <c r="Z67" s="22">
        <f t="shared" si="13"/>
        <v>62313.310661375654</v>
      </c>
      <c r="AA67" s="24">
        <f t="shared" si="11"/>
        <v>175.22442680776012</v>
      </c>
      <c r="AB67" s="20">
        <v>101.5</v>
      </c>
      <c r="AC67" s="22">
        <f t="shared" si="14"/>
        <v>65204.134351851848</v>
      </c>
      <c r="AD67" s="24">
        <f t="shared" si="12"/>
        <v>183.35339506172838</v>
      </c>
      <c r="AE67" s="22"/>
      <c r="AF67" s="22"/>
      <c r="AG67" s="22">
        <v>50</v>
      </c>
      <c r="AH67" s="22">
        <v>134</v>
      </c>
      <c r="AI67" s="22">
        <v>152</v>
      </c>
      <c r="AJ67" s="22">
        <v>168</v>
      </c>
      <c r="AK67" s="22">
        <v>142</v>
      </c>
      <c r="AL67" s="22">
        <v>50</v>
      </c>
      <c r="AM67" s="22">
        <v>5</v>
      </c>
      <c r="AN67" s="25">
        <v>82</v>
      </c>
      <c r="AO67" s="25">
        <v>56</v>
      </c>
      <c r="AP67" s="26">
        <v>89.76</v>
      </c>
      <c r="AQ67" s="25">
        <v>104</v>
      </c>
      <c r="AR67" s="25">
        <v>106</v>
      </c>
      <c r="AS67" s="25">
        <v>108</v>
      </c>
      <c r="AT67" s="25"/>
    </row>
    <row r="68" spans="2:46">
      <c r="B68" s="11">
        <v>45005</v>
      </c>
      <c r="C68" s="20">
        <v>82.5</v>
      </c>
      <c r="D68" s="21">
        <v>93.55</v>
      </c>
      <c r="E68" s="22">
        <f t="shared" si="0"/>
        <v>60507.731646825399</v>
      </c>
      <c r="F68" s="23">
        <v>78.650000000000006</v>
      </c>
      <c r="G68" s="22">
        <f t="shared" si="16"/>
        <v>50870.476686507936</v>
      </c>
      <c r="H68" s="20">
        <v>59800</v>
      </c>
      <c r="I68" s="24">
        <f t="shared" si="3"/>
        <v>168.15702153984591</v>
      </c>
      <c r="J68" s="20"/>
      <c r="K68" s="24">
        <f t="shared" si="4"/>
        <v>0</v>
      </c>
      <c r="L68" s="20">
        <v>60800</v>
      </c>
      <c r="M68" s="24">
        <f t="shared" si="5"/>
        <v>170.96901186659917</v>
      </c>
      <c r="N68" s="20">
        <v>72500</v>
      </c>
      <c r="O68" s="24">
        <f t="shared" si="6"/>
        <v>203.86929868961249</v>
      </c>
      <c r="P68" s="22">
        <v>11500</v>
      </c>
      <c r="Q68" s="24">
        <f t="shared" si="7"/>
        <v>32.337888757662675</v>
      </c>
      <c r="R68" s="22">
        <v>6000</v>
      </c>
      <c r="S68" s="24">
        <f t="shared" si="8"/>
        <v>16.871941960519656</v>
      </c>
      <c r="T68" s="22">
        <v>1000</v>
      </c>
      <c r="U68" s="24">
        <f t="shared" si="9"/>
        <v>2.8119903267532758</v>
      </c>
      <c r="V68" s="23">
        <v>101.5</v>
      </c>
      <c r="W68" s="22">
        <f t="shared" si="2"/>
        <v>65649.756944444453</v>
      </c>
      <c r="X68" s="24">
        <f t="shared" si="10"/>
        <v>184.6064814814815</v>
      </c>
      <c r="Y68" s="27">
        <v>96.5</v>
      </c>
      <c r="Z68" s="22">
        <f t="shared" si="13"/>
        <v>62415.778769841272</v>
      </c>
      <c r="AA68" s="24">
        <f t="shared" si="11"/>
        <v>175.51256613756615</v>
      </c>
      <c r="AB68" s="20">
        <v>101</v>
      </c>
      <c r="AC68" s="22">
        <f t="shared" si="14"/>
        <v>65326.359126984134</v>
      </c>
      <c r="AD68" s="24">
        <f t="shared" si="12"/>
        <v>183.69708994708998</v>
      </c>
      <c r="AE68" s="22"/>
      <c r="AF68" s="22"/>
      <c r="AG68" s="22">
        <v>55</v>
      </c>
      <c r="AH68" s="22">
        <v>119</v>
      </c>
      <c r="AI68" s="22">
        <v>142</v>
      </c>
      <c r="AJ68" s="22">
        <v>158</v>
      </c>
      <c r="AK68" s="22">
        <v>129</v>
      </c>
      <c r="AL68" s="22">
        <v>48</v>
      </c>
      <c r="AM68" s="22">
        <v>5</v>
      </c>
      <c r="AN68" s="25">
        <v>81.2</v>
      </c>
      <c r="AO68" s="25">
        <v>57.1</v>
      </c>
      <c r="AP68" s="26">
        <v>89.25</v>
      </c>
      <c r="AQ68" s="25">
        <v>104</v>
      </c>
      <c r="AR68" s="25">
        <v>106</v>
      </c>
      <c r="AS68" s="25">
        <v>108</v>
      </c>
      <c r="AT68" s="25"/>
    </row>
    <row r="69" spans="2:46">
      <c r="B69" s="11">
        <v>45014</v>
      </c>
      <c r="C69" s="20">
        <v>82.35</v>
      </c>
      <c r="D69" s="21">
        <v>91.05</v>
      </c>
      <c r="E69" s="22">
        <f t="shared" si="0"/>
        <v>58783.668482142843</v>
      </c>
      <c r="F69" s="23">
        <v>81.680000000000007</v>
      </c>
      <c r="G69" s="22">
        <f t="shared" si="16"/>
        <v>52734.212428571424</v>
      </c>
      <c r="H69" s="20">
        <v>59000</v>
      </c>
      <c r="I69" s="24">
        <f t="shared" si="3"/>
        <v>165.90742927844329</v>
      </c>
      <c r="J69" s="20"/>
      <c r="K69" s="24">
        <f t="shared" si="4"/>
        <v>0</v>
      </c>
      <c r="L69" s="20">
        <v>60000</v>
      </c>
      <c r="M69" s="24">
        <f t="shared" si="5"/>
        <v>168.71941960519655</v>
      </c>
      <c r="N69" s="20">
        <v>71500</v>
      </c>
      <c r="O69" s="24">
        <f t="shared" si="6"/>
        <v>201.05730836285923</v>
      </c>
      <c r="P69" s="22">
        <v>11500</v>
      </c>
      <c r="Q69" s="24">
        <f t="shared" si="7"/>
        <v>32.337888757662675</v>
      </c>
      <c r="R69" s="22">
        <v>6000</v>
      </c>
      <c r="S69" s="24">
        <f t="shared" si="8"/>
        <v>16.871941960519656</v>
      </c>
      <c r="T69" s="22">
        <v>1000</v>
      </c>
      <c r="U69" s="24">
        <f t="shared" si="9"/>
        <v>2.8119903267532758</v>
      </c>
      <c r="V69" s="23">
        <v>100</v>
      </c>
      <c r="W69" s="22">
        <f t="shared" si="2"/>
        <v>64561.964285714283</v>
      </c>
      <c r="X69" s="24">
        <f t="shared" si="10"/>
        <v>181.54761904761904</v>
      </c>
      <c r="Y69" s="23">
        <v>95</v>
      </c>
      <c r="Z69" s="22">
        <f t="shared" si="13"/>
        <v>61333.866071428565</v>
      </c>
      <c r="AA69" s="24">
        <f t="shared" si="11"/>
        <v>172.47023809523807</v>
      </c>
      <c r="AB69" s="20">
        <v>99.75</v>
      </c>
      <c r="AC69" s="22">
        <f t="shared" si="14"/>
        <v>64400.55937499999</v>
      </c>
      <c r="AD69" s="24">
        <f t="shared" si="12"/>
        <v>181.09374999999997</v>
      </c>
      <c r="AE69" s="22"/>
      <c r="AF69" s="22"/>
      <c r="AG69" s="22">
        <v>55</v>
      </c>
      <c r="AH69" s="22">
        <v>120</v>
      </c>
      <c r="AI69" s="22">
        <v>138</v>
      </c>
      <c r="AJ69" s="22">
        <v>158</v>
      </c>
      <c r="AK69" s="22">
        <v>129</v>
      </c>
      <c r="AL69" s="22">
        <v>48</v>
      </c>
      <c r="AM69" s="22">
        <v>5</v>
      </c>
      <c r="AN69" s="25">
        <v>84.9</v>
      </c>
      <c r="AO69" s="25">
        <v>56.2</v>
      </c>
      <c r="AP69" s="26">
        <v>92.22</v>
      </c>
      <c r="AQ69" s="25">
        <v>104</v>
      </c>
      <c r="AR69" s="25">
        <v>106</v>
      </c>
      <c r="AS69" s="25">
        <v>108</v>
      </c>
      <c r="AT69" s="25"/>
    </row>
    <row r="70" spans="2:46">
      <c r="B70" s="11">
        <v>45019</v>
      </c>
      <c r="C70" s="20">
        <v>82.38</v>
      </c>
      <c r="D70" s="21">
        <v>96.7</v>
      </c>
      <c r="E70" s="22">
        <f t="shared" si="0"/>
        <v>62454.163150793647</v>
      </c>
      <c r="F70" s="23">
        <v>83.1</v>
      </c>
      <c r="G70" s="22">
        <f t="shared" si="16"/>
        <v>53670.537309523803</v>
      </c>
      <c r="H70" s="20">
        <v>60700</v>
      </c>
      <c r="I70" s="24">
        <f t="shared" si="3"/>
        <v>170.68781283392386</v>
      </c>
      <c r="J70" s="20"/>
      <c r="K70" s="24">
        <f t="shared" si="4"/>
        <v>0</v>
      </c>
      <c r="L70" s="20">
        <v>61700</v>
      </c>
      <c r="M70" s="24">
        <f t="shared" si="5"/>
        <v>173.49980316067712</v>
      </c>
      <c r="N70" s="20">
        <v>72500</v>
      </c>
      <c r="O70" s="24">
        <f t="shared" si="6"/>
        <v>203.86929868961249</v>
      </c>
      <c r="P70" s="22">
        <v>11500</v>
      </c>
      <c r="Q70" s="24">
        <f t="shared" si="7"/>
        <v>32.337888757662675</v>
      </c>
      <c r="R70" s="22">
        <v>6000</v>
      </c>
      <c r="S70" s="24">
        <f t="shared" si="8"/>
        <v>16.871941960519656</v>
      </c>
      <c r="T70" s="22">
        <v>1000</v>
      </c>
      <c r="U70" s="24">
        <f t="shared" si="9"/>
        <v>2.8119903267532758</v>
      </c>
      <c r="V70" s="23">
        <v>105.9</v>
      </c>
      <c r="W70" s="22">
        <f t="shared" si="2"/>
        <v>68396.027690476185</v>
      </c>
      <c r="X70" s="24">
        <f t="shared" si="10"/>
        <v>192.32896825396824</v>
      </c>
      <c r="Y70" s="23">
        <v>101.25</v>
      </c>
      <c r="Z70" s="22">
        <f t="shared" si="13"/>
        <v>65392.802678571417</v>
      </c>
      <c r="AA70" s="24">
        <f t="shared" si="11"/>
        <v>183.88392857142853</v>
      </c>
      <c r="AB70" s="20">
        <v>105</v>
      </c>
      <c r="AC70" s="22">
        <f t="shared" si="14"/>
        <v>67814.758333333317</v>
      </c>
      <c r="AD70" s="24">
        <f t="shared" si="12"/>
        <v>190.6944444444444</v>
      </c>
      <c r="AE70" s="22"/>
      <c r="AF70" s="22"/>
      <c r="AG70" s="22">
        <v>50</v>
      </c>
      <c r="AH70" s="22">
        <v>120</v>
      </c>
      <c r="AI70" s="22">
        <v>138</v>
      </c>
      <c r="AJ70" s="22">
        <v>158</v>
      </c>
      <c r="AK70" s="22">
        <v>129</v>
      </c>
      <c r="AL70" s="22">
        <v>45</v>
      </c>
      <c r="AM70" s="22">
        <v>5</v>
      </c>
      <c r="AN70" s="25">
        <v>84.9</v>
      </c>
      <c r="AO70" s="25">
        <v>56.2</v>
      </c>
      <c r="AP70" s="26">
        <v>92.22</v>
      </c>
      <c r="AQ70" s="25">
        <v>104</v>
      </c>
      <c r="AR70" s="25">
        <v>106</v>
      </c>
      <c r="AS70" s="25">
        <v>108</v>
      </c>
      <c r="AT70" s="25"/>
    </row>
    <row r="71" spans="2:46">
      <c r="B71" s="11">
        <v>45026</v>
      </c>
      <c r="C71" s="20">
        <v>81.96</v>
      </c>
      <c r="D71" s="21">
        <v>94.85</v>
      </c>
      <c r="E71" s="22">
        <f t="shared" ref="E71:E134" si="17">C71*$H$4*D71/0.4536/100</f>
        <v>60947.011722222203</v>
      </c>
      <c r="F71" s="23">
        <v>83</v>
      </c>
      <c r="G71" s="22">
        <f t="shared" si="16"/>
        <v>53332.651269841263</v>
      </c>
      <c r="H71" s="20">
        <v>63000</v>
      </c>
      <c r="I71" s="24">
        <f t="shared" si="3"/>
        <v>177.15539058545639</v>
      </c>
      <c r="J71" s="20"/>
      <c r="K71" s="24">
        <f t="shared" si="4"/>
        <v>0</v>
      </c>
      <c r="L71" s="20">
        <v>63500</v>
      </c>
      <c r="M71" s="24">
        <f t="shared" si="5"/>
        <v>178.56138574883303</v>
      </c>
      <c r="N71" s="20">
        <v>75000</v>
      </c>
      <c r="O71" s="24">
        <f t="shared" si="6"/>
        <v>210.89927450649569</v>
      </c>
      <c r="P71" s="22">
        <v>11000</v>
      </c>
      <c r="Q71" s="24">
        <f t="shared" si="7"/>
        <v>30.931893594286034</v>
      </c>
      <c r="R71" s="22">
        <v>6000</v>
      </c>
      <c r="S71" s="24">
        <f t="shared" si="8"/>
        <v>16.871941960519656</v>
      </c>
      <c r="T71" s="22">
        <v>1000</v>
      </c>
      <c r="U71" s="24">
        <f t="shared" si="9"/>
        <v>2.8119903267532758</v>
      </c>
      <c r="V71" s="23">
        <v>106</v>
      </c>
      <c r="W71" s="22">
        <f t="shared" ref="W71:W99" si="18">C71*$H$4*V71/0.4536/100</f>
        <v>68111.578730158726</v>
      </c>
      <c r="X71" s="24">
        <f t="shared" si="10"/>
        <v>191.5291005291005</v>
      </c>
      <c r="Y71" s="23">
        <v>101.75</v>
      </c>
      <c r="Z71" s="22">
        <f t="shared" si="13"/>
        <v>65380.689960317453</v>
      </c>
      <c r="AA71" s="24">
        <f t="shared" si="11"/>
        <v>183.84986772486769</v>
      </c>
      <c r="AB71" s="20">
        <v>105.5</v>
      </c>
      <c r="AC71" s="22">
        <f t="shared" si="14"/>
        <v>67790.297698412702</v>
      </c>
      <c r="AD71" s="24">
        <f t="shared" si="12"/>
        <v>190.62566137566139</v>
      </c>
      <c r="AE71" s="22"/>
      <c r="AF71" s="22"/>
      <c r="AG71" s="22">
        <v>48</v>
      </c>
      <c r="AH71" s="22">
        <v>120</v>
      </c>
      <c r="AI71" s="22">
        <v>145</v>
      </c>
      <c r="AJ71" s="22">
        <v>158</v>
      </c>
      <c r="AK71" s="22">
        <v>129</v>
      </c>
      <c r="AL71" s="22">
        <v>45</v>
      </c>
      <c r="AM71" s="22">
        <v>5</v>
      </c>
      <c r="AN71" s="25">
        <v>89.7</v>
      </c>
      <c r="AO71" s="25">
        <v>53</v>
      </c>
      <c r="AP71" s="26">
        <v>95.16</v>
      </c>
      <c r="AQ71" s="25">
        <v>109</v>
      </c>
      <c r="AR71" s="25">
        <v>109.75</v>
      </c>
      <c r="AS71" s="25">
        <v>110.5</v>
      </c>
      <c r="AT71" s="25"/>
    </row>
    <row r="72" spans="2:46">
      <c r="B72" s="11">
        <v>45033</v>
      </c>
      <c r="C72" s="20">
        <v>81.95</v>
      </c>
      <c r="D72" s="21">
        <v>96.85</v>
      </c>
      <c r="E72" s="22">
        <f t="shared" si="17"/>
        <v>62224.542860449728</v>
      </c>
      <c r="F72" s="23">
        <v>83.23</v>
      </c>
      <c r="G72" s="22">
        <f t="shared" si="16"/>
        <v>53473.915356481491</v>
      </c>
      <c r="H72" s="20">
        <v>62500</v>
      </c>
      <c r="I72" s="24">
        <f t="shared" ref="I72:I135" si="19">H72/355.62</f>
        <v>175.74939542207974</v>
      </c>
      <c r="J72" s="20"/>
      <c r="K72" s="24">
        <f t="shared" ref="K72:K135" si="20">J72/355.62</f>
        <v>0</v>
      </c>
      <c r="L72" s="20">
        <v>62700</v>
      </c>
      <c r="M72" s="24">
        <f t="shared" ref="M72:M135" si="21">L72/355.62</f>
        <v>176.31179348743041</v>
      </c>
      <c r="N72" s="20">
        <v>75000</v>
      </c>
      <c r="O72" s="24">
        <f t="shared" ref="O72:O135" si="22">N72/355.62</f>
        <v>210.89927450649569</v>
      </c>
      <c r="P72" s="22">
        <v>11000</v>
      </c>
      <c r="Q72" s="24">
        <f t="shared" ref="Q72:Q135" si="23">P72/355.62</f>
        <v>30.931893594286034</v>
      </c>
      <c r="R72" s="22">
        <v>6000</v>
      </c>
      <c r="S72" s="24">
        <f t="shared" ref="S72:S135" si="24">R72/355.62</f>
        <v>16.871941960519656</v>
      </c>
      <c r="T72" s="22">
        <v>1000</v>
      </c>
      <c r="U72" s="24">
        <f t="shared" ref="U72:U135" si="25">T72/355.62</f>
        <v>2.8119903267532758</v>
      </c>
      <c r="V72" s="23">
        <v>104.5</v>
      </c>
      <c r="W72" s="22">
        <f t="shared" si="18"/>
        <v>67139.54289021164</v>
      </c>
      <c r="X72" s="24">
        <f t="shared" ref="X72:X135" si="26">W72/355.62</f>
        <v>188.79574514991182</v>
      </c>
      <c r="Y72" s="23">
        <v>101.5</v>
      </c>
      <c r="Z72" s="22">
        <f t="shared" si="13"/>
        <v>65212.091898148145</v>
      </c>
      <c r="AA72" s="24">
        <f t="shared" ref="AA72:AA135" si="27">Z72/355.62</f>
        <v>183.37577160493825</v>
      </c>
      <c r="AB72" s="20">
        <v>104.5</v>
      </c>
      <c r="AC72" s="22">
        <f t="shared" si="14"/>
        <v>67139.54289021164</v>
      </c>
      <c r="AD72" s="24">
        <f t="shared" ref="AD72:AD135" si="28">AC72/355.62</f>
        <v>188.79574514991182</v>
      </c>
      <c r="AE72" s="22"/>
      <c r="AF72" s="22"/>
      <c r="AG72" s="22">
        <v>42</v>
      </c>
      <c r="AH72" s="22">
        <v>119</v>
      </c>
      <c r="AI72" s="22">
        <v>148</v>
      </c>
      <c r="AJ72" s="22">
        <v>158</v>
      </c>
      <c r="AK72" s="22">
        <v>129</v>
      </c>
      <c r="AL72" s="22">
        <v>42</v>
      </c>
      <c r="AM72" s="22">
        <v>5</v>
      </c>
      <c r="AN72" s="25">
        <v>89.7</v>
      </c>
      <c r="AO72" s="25">
        <v>53</v>
      </c>
      <c r="AP72" s="26">
        <v>95.16</v>
      </c>
      <c r="AQ72" s="25">
        <v>109</v>
      </c>
      <c r="AR72" s="25">
        <v>109.75</v>
      </c>
      <c r="AS72" s="25">
        <v>110.5</v>
      </c>
      <c r="AT72" s="25"/>
    </row>
    <row r="73" spans="2:46">
      <c r="B73" s="11">
        <v>45040</v>
      </c>
      <c r="C73" s="20">
        <v>81.93</v>
      </c>
      <c r="D73" s="21">
        <v>93.3</v>
      </c>
      <c r="E73" s="22">
        <f t="shared" si="17"/>
        <v>59929.096511904761</v>
      </c>
      <c r="F73" s="23">
        <v>80.56</v>
      </c>
      <c r="G73" s="22">
        <f t="shared" si="16"/>
        <v>51745.852250793658</v>
      </c>
      <c r="H73" s="20">
        <v>61500</v>
      </c>
      <c r="I73" s="24">
        <f t="shared" si="19"/>
        <v>172.93740509532648</v>
      </c>
      <c r="J73" s="20"/>
      <c r="K73" s="24">
        <f t="shared" si="20"/>
        <v>0</v>
      </c>
      <c r="L73" s="20">
        <v>62500</v>
      </c>
      <c r="M73" s="24">
        <f t="shared" si="21"/>
        <v>175.74939542207974</v>
      </c>
      <c r="N73" s="20">
        <v>74500</v>
      </c>
      <c r="O73" s="24">
        <f t="shared" si="22"/>
        <v>209.49327934311907</v>
      </c>
      <c r="P73" s="22">
        <v>11000</v>
      </c>
      <c r="Q73" s="24">
        <f t="shared" si="23"/>
        <v>30.931893594286034</v>
      </c>
      <c r="R73" s="22">
        <v>6000</v>
      </c>
      <c r="S73" s="24">
        <f t="shared" si="24"/>
        <v>16.871941960519656</v>
      </c>
      <c r="T73" s="22">
        <v>1000</v>
      </c>
      <c r="U73" s="24">
        <f t="shared" si="25"/>
        <v>2.8119903267532758</v>
      </c>
      <c r="V73" s="23">
        <v>104.5</v>
      </c>
      <c r="W73" s="22">
        <f t="shared" si="18"/>
        <v>67123.157400793658</v>
      </c>
      <c r="X73" s="24">
        <f t="shared" si="26"/>
        <v>188.74966931216932</v>
      </c>
      <c r="Y73" s="23">
        <v>100</v>
      </c>
      <c r="Z73" s="22">
        <f t="shared" si="13"/>
        <v>64232.686507936509</v>
      </c>
      <c r="AA73" s="24">
        <f t="shared" si="27"/>
        <v>180.62169312169311</v>
      </c>
      <c r="AB73" s="20">
        <v>103</v>
      </c>
      <c r="AC73" s="22">
        <f t="shared" si="14"/>
        <v>66159.667103174608</v>
      </c>
      <c r="AD73" s="24">
        <f t="shared" si="28"/>
        <v>186.04034391534393</v>
      </c>
      <c r="AE73" s="22"/>
      <c r="AF73" s="22"/>
      <c r="AG73" s="22">
        <v>42</v>
      </c>
      <c r="AH73" s="22">
        <v>119</v>
      </c>
      <c r="AI73" s="22">
        <v>142</v>
      </c>
      <c r="AJ73" s="22">
        <v>155</v>
      </c>
      <c r="AK73" s="22">
        <v>129</v>
      </c>
      <c r="AL73" s="22">
        <v>42</v>
      </c>
      <c r="AM73" s="22">
        <v>5</v>
      </c>
      <c r="AN73" s="25">
        <v>89.7</v>
      </c>
      <c r="AO73" s="25">
        <v>53</v>
      </c>
      <c r="AP73" s="26">
        <v>95.16</v>
      </c>
      <c r="AQ73" s="25">
        <v>109</v>
      </c>
      <c r="AR73" s="25">
        <v>109.75</v>
      </c>
      <c r="AS73" s="25">
        <v>110.5</v>
      </c>
      <c r="AT73" s="25"/>
    </row>
    <row r="74" spans="2:46">
      <c r="B74" s="11">
        <v>45048</v>
      </c>
      <c r="C74" s="20">
        <v>81.89</v>
      </c>
      <c r="D74" s="21">
        <v>93.15</v>
      </c>
      <c r="E74" s="22">
        <f t="shared" si="17"/>
        <v>59803.535839285723</v>
      </c>
      <c r="F74" s="23">
        <v>81.41</v>
      </c>
      <c r="G74" s="22">
        <f t="shared" si="16"/>
        <v>52266.300082407404</v>
      </c>
      <c r="H74" s="20">
        <v>61500</v>
      </c>
      <c r="I74" s="24">
        <f t="shared" si="19"/>
        <v>172.93740509532648</v>
      </c>
      <c r="J74" s="20"/>
      <c r="K74" s="24">
        <f t="shared" si="20"/>
        <v>0</v>
      </c>
      <c r="L74" s="20">
        <v>62500</v>
      </c>
      <c r="M74" s="24">
        <f t="shared" si="21"/>
        <v>175.74939542207974</v>
      </c>
      <c r="N74" s="20">
        <v>74500</v>
      </c>
      <c r="O74" s="24">
        <f t="shared" si="22"/>
        <v>209.49327934311907</v>
      </c>
      <c r="P74" s="22">
        <v>11000</v>
      </c>
      <c r="Q74" s="24">
        <f t="shared" si="23"/>
        <v>30.931893594286034</v>
      </c>
      <c r="R74" s="22">
        <v>6000</v>
      </c>
      <c r="S74" s="24">
        <f t="shared" si="24"/>
        <v>16.871941960519656</v>
      </c>
      <c r="T74" s="22">
        <v>1000</v>
      </c>
      <c r="U74" s="24">
        <f t="shared" si="25"/>
        <v>2.8119903267532758</v>
      </c>
      <c r="V74" s="23">
        <v>104</v>
      </c>
      <c r="W74" s="22">
        <f t="shared" si="18"/>
        <v>66769.379788359787</v>
      </c>
      <c r="X74" s="24">
        <f t="shared" si="26"/>
        <v>187.75485008818342</v>
      </c>
      <c r="Y74" s="23">
        <v>100</v>
      </c>
      <c r="Z74" s="22">
        <f t="shared" si="13"/>
        <v>64201.326719576718</v>
      </c>
      <c r="AA74" s="24">
        <f t="shared" si="27"/>
        <v>180.53350970017635</v>
      </c>
      <c r="AB74" s="20">
        <v>102.25</v>
      </c>
      <c r="AC74" s="22">
        <f t="shared" si="14"/>
        <v>65645.856570767195</v>
      </c>
      <c r="AD74" s="24">
        <f t="shared" si="28"/>
        <v>184.59551366843033</v>
      </c>
      <c r="AE74" s="22"/>
      <c r="AF74" s="22"/>
      <c r="AG74" s="22">
        <v>42</v>
      </c>
      <c r="AH74" s="22">
        <v>119</v>
      </c>
      <c r="AI74" s="22">
        <v>138</v>
      </c>
      <c r="AJ74" s="22">
        <v>155</v>
      </c>
      <c r="AK74" s="22">
        <v>129</v>
      </c>
      <c r="AL74" s="22">
        <v>42</v>
      </c>
      <c r="AM74" s="22">
        <v>5</v>
      </c>
      <c r="AN74" s="25">
        <v>87.2</v>
      </c>
      <c r="AO74" s="25">
        <v>53</v>
      </c>
      <c r="AP74" s="26">
        <v>93.01</v>
      </c>
      <c r="AQ74" s="25">
        <v>108</v>
      </c>
      <c r="AR74" s="25">
        <v>110</v>
      </c>
      <c r="AS74" s="25">
        <v>112</v>
      </c>
      <c r="AT74" s="25"/>
    </row>
    <row r="75" spans="2:46">
      <c r="B75" s="11">
        <v>45054</v>
      </c>
      <c r="C75" s="20">
        <v>81.760000000000005</v>
      </c>
      <c r="D75" s="21">
        <v>91.2</v>
      </c>
      <c r="E75" s="22">
        <f t="shared" si="17"/>
        <v>58458.659555555561</v>
      </c>
      <c r="F75" s="23">
        <v>83.24</v>
      </c>
      <c r="G75" s="22">
        <f t="shared" si="16"/>
        <v>53356.346725925927</v>
      </c>
      <c r="H75" s="20">
        <v>61500</v>
      </c>
      <c r="I75" s="24">
        <f t="shared" si="19"/>
        <v>172.93740509532648</v>
      </c>
      <c r="J75" s="20"/>
      <c r="K75" s="24">
        <f t="shared" si="20"/>
        <v>0</v>
      </c>
      <c r="L75" s="20">
        <v>62000</v>
      </c>
      <c r="M75" s="24">
        <f t="shared" si="21"/>
        <v>174.3434002587031</v>
      </c>
      <c r="N75" s="20">
        <v>74500</v>
      </c>
      <c r="O75" s="24">
        <f t="shared" si="22"/>
        <v>209.49327934311907</v>
      </c>
      <c r="P75" s="22">
        <v>10000</v>
      </c>
      <c r="Q75" s="24">
        <f t="shared" si="23"/>
        <v>28.119903267532759</v>
      </c>
      <c r="R75" s="22">
        <v>6000</v>
      </c>
      <c r="S75" s="24">
        <f t="shared" si="24"/>
        <v>16.871941960519656</v>
      </c>
      <c r="T75" s="22">
        <v>1000</v>
      </c>
      <c r="U75" s="24">
        <f t="shared" si="25"/>
        <v>2.8119903267532758</v>
      </c>
      <c r="V75" s="23">
        <v>105</v>
      </c>
      <c r="W75" s="22">
        <f t="shared" si="18"/>
        <v>67304.377777777772</v>
      </c>
      <c r="X75" s="24">
        <f t="shared" si="26"/>
        <v>189.25925925925924</v>
      </c>
      <c r="Y75" s="23">
        <v>100</v>
      </c>
      <c r="Z75" s="22">
        <f t="shared" si="13"/>
        <v>64099.407407407409</v>
      </c>
      <c r="AA75" s="24">
        <f t="shared" si="27"/>
        <v>180.24691358024691</v>
      </c>
      <c r="AB75" s="20">
        <v>104</v>
      </c>
      <c r="AC75" s="22">
        <f t="shared" si="14"/>
        <v>66663.383703703701</v>
      </c>
      <c r="AD75" s="24">
        <f t="shared" si="28"/>
        <v>187.45679012345678</v>
      </c>
      <c r="AE75" s="22"/>
      <c r="AF75" s="22"/>
      <c r="AG75" s="22">
        <v>45.5</v>
      </c>
      <c r="AH75" s="22">
        <v>117</v>
      </c>
      <c r="AI75" s="22">
        <v>138</v>
      </c>
      <c r="AJ75" s="22">
        <v>153</v>
      </c>
      <c r="AK75" s="22">
        <v>125</v>
      </c>
      <c r="AL75" s="22">
        <v>40</v>
      </c>
      <c r="AM75" s="22">
        <v>5</v>
      </c>
      <c r="AN75" s="25">
        <v>89.7</v>
      </c>
      <c r="AO75" s="25">
        <v>53.2</v>
      </c>
      <c r="AP75" s="26">
        <v>95.23</v>
      </c>
      <c r="AQ75" s="25">
        <v>108</v>
      </c>
      <c r="AR75" s="25">
        <v>110</v>
      </c>
      <c r="AS75" s="25">
        <v>112</v>
      </c>
      <c r="AT75" s="25"/>
    </row>
    <row r="76" spans="2:46">
      <c r="B76" s="11">
        <v>45061</v>
      </c>
      <c r="C76" s="20">
        <v>82.34</v>
      </c>
      <c r="D76" s="21">
        <v>91.85</v>
      </c>
      <c r="E76" s="22">
        <f t="shared" si="17"/>
        <v>59292.963205026455</v>
      </c>
      <c r="F76" s="23">
        <v>82.34</v>
      </c>
      <c r="G76" s="22">
        <f t="shared" si="16"/>
        <v>53153.865980423288</v>
      </c>
      <c r="H76" s="20">
        <v>59000</v>
      </c>
      <c r="I76" s="24">
        <f t="shared" si="19"/>
        <v>165.90742927844329</v>
      </c>
      <c r="J76" s="20"/>
      <c r="K76" s="24">
        <f t="shared" si="20"/>
        <v>0</v>
      </c>
      <c r="L76" s="20">
        <v>59800</v>
      </c>
      <c r="M76" s="24">
        <f t="shared" si="21"/>
        <v>168.15702153984591</v>
      </c>
      <c r="N76" s="20">
        <v>75000</v>
      </c>
      <c r="O76" s="24">
        <f t="shared" si="22"/>
        <v>210.89927450649569</v>
      </c>
      <c r="P76" s="22">
        <v>10000</v>
      </c>
      <c r="Q76" s="24">
        <f t="shared" si="23"/>
        <v>28.119903267532759</v>
      </c>
      <c r="R76" s="22">
        <v>6000</v>
      </c>
      <c r="S76" s="24">
        <f t="shared" si="24"/>
        <v>16.871941960519656</v>
      </c>
      <c r="T76" s="22">
        <v>1000</v>
      </c>
      <c r="U76" s="24">
        <f t="shared" si="25"/>
        <v>2.8119903267532758</v>
      </c>
      <c r="V76" s="23">
        <v>100</v>
      </c>
      <c r="W76" s="22">
        <f t="shared" si="18"/>
        <v>64554.124338624337</v>
      </c>
      <c r="X76" s="24">
        <f t="shared" si="26"/>
        <v>181.52557319223985</v>
      </c>
      <c r="Y76" s="23">
        <v>99.25</v>
      </c>
      <c r="Z76" s="22">
        <f t="shared" si="13"/>
        <v>64069.968406084656</v>
      </c>
      <c r="AA76" s="24">
        <f t="shared" si="27"/>
        <v>180.16413139329805</v>
      </c>
      <c r="AB76" s="20">
        <v>98</v>
      </c>
      <c r="AC76" s="22">
        <f t="shared" si="14"/>
        <v>63263.041851851849</v>
      </c>
      <c r="AD76" s="24">
        <f t="shared" si="28"/>
        <v>177.89506172839506</v>
      </c>
      <c r="AE76" s="22"/>
      <c r="AF76" s="22"/>
      <c r="AG76" s="22">
        <v>45.5</v>
      </c>
      <c r="AH76" s="22">
        <v>117</v>
      </c>
      <c r="AI76" s="22">
        <v>132</v>
      </c>
      <c r="AJ76" s="22">
        <v>153</v>
      </c>
      <c r="AK76" s="22">
        <v>125</v>
      </c>
      <c r="AL76" s="22">
        <v>40</v>
      </c>
      <c r="AM76" s="22">
        <v>5</v>
      </c>
      <c r="AN76" s="25">
        <v>89.7</v>
      </c>
      <c r="AO76" s="25">
        <v>53.2</v>
      </c>
      <c r="AP76" s="26">
        <v>95.23</v>
      </c>
      <c r="AQ76" s="25">
        <v>108</v>
      </c>
      <c r="AR76" s="25">
        <v>110</v>
      </c>
      <c r="AS76" s="25">
        <v>112</v>
      </c>
      <c r="AT76" s="25"/>
    </row>
    <row r="77" spans="2:46">
      <c r="B77" s="11">
        <v>45068</v>
      </c>
      <c r="C77" s="20">
        <v>82.71</v>
      </c>
      <c r="D77" s="21">
        <v>94.45</v>
      </c>
      <c r="E77" s="22">
        <f t="shared" si="17"/>
        <v>61245.349148809517</v>
      </c>
      <c r="F77" s="23">
        <v>80.16</v>
      </c>
      <c r="G77" s="22">
        <f t="shared" si="16"/>
        <v>51979.11262857142</v>
      </c>
      <c r="H77" s="20">
        <v>58000</v>
      </c>
      <c r="I77" s="24">
        <f t="shared" si="19"/>
        <v>163.09543895169</v>
      </c>
      <c r="J77" s="20"/>
      <c r="K77" s="24">
        <f t="shared" si="20"/>
        <v>0</v>
      </c>
      <c r="L77" s="20">
        <v>58800</v>
      </c>
      <c r="M77" s="24">
        <f t="shared" si="21"/>
        <v>165.34503121309262</v>
      </c>
      <c r="N77" s="20">
        <v>74000</v>
      </c>
      <c r="O77" s="24">
        <f t="shared" si="22"/>
        <v>208.08728417974243</v>
      </c>
      <c r="P77" s="22">
        <v>9500</v>
      </c>
      <c r="Q77" s="24">
        <f t="shared" si="23"/>
        <v>26.713908104156122</v>
      </c>
      <c r="R77" s="22">
        <v>6000</v>
      </c>
      <c r="S77" s="24">
        <f t="shared" si="24"/>
        <v>16.871941960519656</v>
      </c>
      <c r="T77" s="22">
        <v>1000</v>
      </c>
      <c r="U77" s="24">
        <f t="shared" si="25"/>
        <v>2.8119903267532758</v>
      </c>
      <c r="V77" s="23">
        <v>106</v>
      </c>
      <c r="W77" s="22">
        <f t="shared" si="18"/>
        <v>68734.85452380951</v>
      </c>
      <c r="X77" s="24">
        <f t="shared" si="26"/>
        <v>193.281746031746</v>
      </c>
      <c r="Y77" s="23">
        <v>105</v>
      </c>
      <c r="Z77" s="22">
        <f t="shared" si="13"/>
        <v>68086.412499999991</v>
      </c>
      <c r="AA77" s="24">
        <f t="shared" si="27"/>
        <v>191.45833333333331</v>
      </c>
      <c r="AB77" s="20">
        <v>105</v>
      </c>
      <c r="AC77" s="22">
        <f t="shared" si="14"/>
        <v>68086.412499999991</v>
      </c>
      <c r="AD77" s="24">
        <f t="shared" si="28"/>
        <v>191.45833333333331</v>
      </c>
      <c r="AE77" s="22"/>
      <c r="AF77" s="22"/>
      <c r="AG77" s="22">
        <v>42</v>
      </c>
      <c r="AH77" s="22">
        <v>115</v>
      </c>
      <c r="AI77" s="22">
        <v>130</v>
      </c>
      <c r="AJ77" s="22">
        <v>148</v>
      </c>
      <c r="AK77" s="22">
        <v>120</v>
      </c>
      <c r="AL77" s="22">
        <v>40</v>
      </c>
      <c r="AM77" s="22">
        <v>5</v>
      </c>
      <c r="AN77" s="25">
        <v>87.2</v>
      </c>
      <c r="AO77" s="25">
        <v>53</v>
      </c>
      <c r="AP77" s="26">
        <v>95.16</v>
      </c>
      <c r="AQ77" s="25">
        <v>108</v>
      </c>
      <c r="AR77" s="25">
        <v>110</v>
      </c>
      <c r="AS77" s="25">
        <v>112</v>
      </c>
      <c r="AT77" s="25"/>
    </row>
    <row r="78" spans="2:46">
      <c r="B78" s="11">
        <v>45075</v>
      </c>
      <c r="C78" s="20">
        <v>82.64</v>
      </c>
      <c r="D78" s="21">
        <v>91.95</v>
      </c>
      <c r="E78" s="22">
        <f t="shared" si="17"/>
        <v>59573.782269841264</v>
      </c>
      <c r="F78" s="23">
        <v>83.65</v>
      </c>
      <c r="G78" s="22">
        <f t="shared" si="16"/>
        <v>54196.268481481486</v>
      </c>
      <c r="H78" s="20">
        <v>57000</v>
      </c>
      <c r="I78" s="24">
        <f t="shared" si="19"/>
        <v>160.28344862493674</v>
      </c>
      <c r="J78" s="20"/>
      <c r="K78" s="24">
        <f t="shared" si="20"/>
        <v>0</v>
      </c>
      <c r="L78" s="20">
        <v>57700</v>
      </c>
      <c r="M78" s="24">
        <f t="shared" si="21"/>
        <v>162.25184185366402</v>
      </c>
      <c r="N78" s="20">
        <v>73000</v>
      </c>
      <c r="O78" s="24">
        <f t="shared" si="22"/>
        <v>205.27529385298914</v>
      </c>
      <c r="P78" s="22">
        <v>9000</v>
      </c>
      <c r="Q78" s="24">
        <f t="shared" si="23"/>
        <v>25.307912940779485</v>
      </c>
      <c r="R78" s="22">
        <v>6000</v>
      </c>
      <c r="S78" s="24">
        <f t="shared" si="24"/>
        <v>16.871941960519656</v>
      </c>
      <c r="T78" s="22">
        <v>900</v>
      </c>
      <c r="U78" s="24">
        <f t="shared" si="25"/>
        <v>2.5307912940779485</v>
      </c>
      <c r="V78" s="23">
        <v>102</v>
      </c>
      <c r="W78" s="22">
        <f t="shared" si="18"/>
        <v>66085.109206349196</v>
      </c>
      <c r="X78" s="24">
        <f t="shared" si="26"/>
        <v>185.83068783068779</v>
      </c>
      <c r="Y78" s="23">
        <v>101.25</v>
      </c>
      <c r="Z78" s="22">
        <f t="shared" si="13"/>
        <v>65599.189285714281</v>
      </c>
      <c r="AA78" s="24">
        <f t="shared" si="27"/>
        <v>184.46428571428569</v>
      </c>
      <c r="AB78" s="20">
        <v>101</v>
      </c>
      <c r="AC78" s="22">
        <f t="shared" si="14"/>
        <v>65437.215978835979</v>
      </c>
      <c r="AD78" s="24">
        <f t="shared" si="28"/>
        <v>184.00881834215167</v>
      </c>
      <c r="AE78" s="22"/>
      <c r="AF78" s="22"/>
      <c r="AG78" s="22">
        <v>40</v>
      </c>
      <c r="AH78" s="22">
        <v>110</v>
      </c>
      <c r="AI78" s="22">
        <v>125</v>
      </c>
      <c r="AJ78" s="22">
        <v>145</v>
      </c>
      <c r="AK78" s="22">
        <v>120</v>
      </c>
      <c r="AL78" s="22">
        <v>40</v>
      </c>
      <c r="AM78" s="22">
        <v>5</v>
      </c>
      <c r="AN78" s="25">
        <v>82</v>
      </c>
      <c r="AO78" s="25">
        <v>52</v>
      </c>
      <c r="AP78" s="26">
        <v>88.2</v>
      </c>
      <c r="AQ78" s="25">
        <v>108</v>
      </c>
      <c r="AR78" s="25">
        <v>110</v>
      </c>
      <c r="AS78" s="25">
        <v>112</v>
      </c>
      <c r="AT78" s="25"/>
    </row>
    <row r="79" spans="2:46">
      <c r="B79" s="11">
        <v>45082</v>
      </c>
      <c r="C79" s="20">
        <v>82.67</v>
      </c>
      <c r="D79" s="21">
        <v>96.65</v>
      </c>
      <c r="E79" s="22">
        <f t="shared" si="17"/>
        <v>62641.612365740744</v>
      </c>
      <c r="F79" s="23">
        <v>85.84</v>
      </c>
      <c r="G79" s="22">
        <f t="shared" si="16"/>
        <v>55635.344081481489</v>
      </c>
      <c r="H79" s="20">
        <v>58500</v>
      </c>
      <c r="I79" s="24">
        <f t="shared" si="19"/>
        <v>164.50143411506664</v>
      </c>
      <c r="J79" s="20"/>
      <c r="K79" s="24">
        <f t="shared" si="20"/>
        <v>0</v>
      </c>
      <c r="L79" s="20">
        <v>59500</v>
      </c>
      <c r="M79" s="24">
        <f t="shared" si="21"/>
        <v>167.3134244418199</v>
      </c>
      <c r="N79" s="20">
        <v>74000</v>
      </c>
      <c r="O79" s="24">
        <f t="shared" si="22"/>
        <v>208.08728417974243</v>
      </c>
      <c r="P79" s="22">
        <v>9200</v>
      </c>
      <c r="Q79" s="24">
        <f t="shared" si="23"/>
        <v>25.870311006130137</v>
      </c>
      <c r="R79" s="22">
        <v>6000</v>
      </c>
      <c r="S79" s="24">
        <f t="shared" si="24"/>
        <v>16.871941960519656</v>
      </c>
      <c r="T79" s="22">
        <v>800</v>
      </c>
      <c r="U79" s="24">
        <f t="shared" si="25"/>
        <v>2.2495922614026207</v>
      </c>
      <c r="V79" s="23">
        <v>103.25</v>
      </c>
      <c r="W79" s="22">
        <f t="shared" si="18"/>
        <v>66919.259976851856</v>
      </c>
      <c r="X79" s="24">
        <f t="shared" si="26"/>
        <v>188.17631172839506</v>
      </c>
      <c r="Y79" s="23">
        <v>103</v>
      </c>
      <c r="Z79" s="22">
        <f t="shared" si="13"/>
        <v>66757.227870370378</v>
      </c>
      <c r="AA79" s="24">
        <f t="shared" si="27"/>
        <v>187.7206790123457</v>
      </c>
      <c r="AB79" s="20">
        <v>102.5</v>
      </c>
      <c r="AC79" s="22">
        <f t="shared" si="14"/>
        <v>66433.163657407407</v>
      </c>
      <c r="AD79" s="24">
        <f t="shared" si="28"/>
        <v>186.80941358024691</v>
      </c>
      <c r="AE79" s="22"/>
      <c r="AF79" s="22"/>
      <c r="AG79" s="22">
        <v>41</v>
      </c>
      <c r="AH79" s="22">
        <v>105</v>
      </c>
      <c r="AI79" s="22">
        <v>125</v>
      </c>
      <c r="AJ79" s="22">
        <v>145</v>
      </c>
      <c r="AK79" s="22">
        <v>118</v>
      </c>
      <c r="AL79" s="22">
        <v>40</v>
      </c>
      <c r="AM79" s="22">
        <v>5</v>
      </c>
      <c r="AN79" s="25">
        <v>81</v>
      </c>
      <c r="AO79" s="25">
        <v>51.6</v>
      </c>
      <c r="AP79" s="26">
        <v>87.2</v>
      </c>
      <c r="AQ79" s="25">
        <v>108</v>
      </c>
      <c r="AR79" s="25">
        <v>110</v>
      </c>
      <c r="AS79" s="25">
        <v>112</v>
      </c>
      <c r="AT79" s="25"/>
    </row>
    <row r="80" spans="2:46">
      <c r="B80" s="11">
        <v>45089</v>
      </c>
      <c r="C80" s="20">
        <v>82.47</v>
      </c>
      <c r="D80" s="21">
        <v>94.85</v>
      </c>
      <c r="E80" s="22">
        <f t="shared" si="17"/>
        <v>61326.257402777781</v>
      </c>
      <c r="F80" s="23">
        <v>83.58</v>
      </c>
      <c r="G80" s="22">
        <f t="shared" si="16"/>
        <v>54039.521283333328</v>
      </c>
      <c r="H80" s="20">
        <v>57500</v>
      </c>
      <c r="I80" s="24">
        <f t="shared" si="19"/>
        <v>161.68944378831335</v>
      </c>
      <c r="J80" s="20"/>
      <c r="K80" s="24">
        <f t="shared" si="20"/>
        <v>0</v>
      </c>
      <c r="L80" s="20">
        <v>58500</v>
      </c>
      <c r="M80" s="24">
        <f t="shared" si="21"/>
        <v>164.50143411506664</v>
      </c>
      <c r="N80" s="20">
        <v>74000</v>
      </c>
      <c r="O80" s="24">
        <f t="shared" si="22"/>
        <v>208.08728417974243</v>
      </c>
      <c r="P80" s="22">
        <v>9200</v>
      </c>
      <c r="Q80" s="24">
        <f t="shared" si="23"/>
        <v>25.870311006130137</v>
      </c>
      <c r="R80" s="22">
        <v>6000</v>
      </c>
      <c r="S80" s="24">
        <f t="shared" si="24"/>
        <v>16.871941960519656</v>
      </c>
      <c r="T80" s="22">
        <v>800</v>
      </c>
      <c r="U80" s="24">
        <f t="shared" si="25"/>
        <v>2.2495922614026207</v>
      </c>
      <c r="V80" s="23">
        <v>102</v>
      </c>
      <c r="W80" s="22">
        <f t="shared" si="18"/>
        <v>65949.164523809523</v>
      </c>
      <c r="X80" s="24">
        <f t="shared" si="26"/>
        <v>185.44841269841268</v>
      </c>
      <c r="Y80" s="23">
        <v>101.25</v>
      </c>
      <c r="Z80" s="22">
        <f t="shared" si="13"/>
        <v>65464.244196428575</v>
      </c>
      <c r="AA80" s="24">
        <f t="shared" si="27"/>
        <v>184.08482142857144</v>
      </c>
      <c r="AB80" s="20">
        <v>101</v>
      </c>
      <c r="AC80" s="22">
        <f t="shared" si="14"/>
        <v>65302.604087301588</v>
      </c>
      <c r="AD80" s="24">
        <f t="shared" si="28"/>
        <v>183.63029100529101</v>
      </c>
      <c r="AE80" s="22"/>
      <c r="AF80" s="22"/>
      <c r="AG80" s="22">
        <v>41</v>
      </c>
      <c r="AH80" s="22">
        <v>105</v>
      </c>
      <c r="AI80" s="22">
        <v>125</v>
      </c>
      <c r="AJ80" s="22">
        <v>145</v>
      </c>
      <c r="AK80" s="22">
        <v>118</v>
      </c>
      <c r="AL80" s="22">
        <v>40</v>
      </c>
      <c r="AM80" s="22">
        <v>5</v>
      </c>
      <c r="AN80" s="25">
        <v>81.7</v>
      </c>
      <c r="AO80" s="25">
        <v>51.6</v>
      </c>
      <c r="AP80" s="26">
        <v>87.8</v>
      </c>
      <c r="AQ80" s="25">
        <v>108</v>
      </c>
      <c r="AR80" s="25">
        <v>110</v>
      </c>
      <c r="AS80" s="25">
        <v>112</v>
      </c>
      <c r="AT80" s="25"/>
    </row>
    <row r="81" spans="2:46">
      <c r="B81" s="11">
        <v>45096</v>
      </c>
      <c r="C81" s="20">
        <v>81.97</v>
      </c>
      <c r="D81" s="21">
        <v>91.8</v>
      </c>
      <c r="E81" s="22">
        <f t="shared" si="17"/>
        <v>58994.394500000002</v>
      </c>
      <c r="F81" s="23">
        <v>80.099999999999994</v>
      </c>
      <c r="G81" s="22">
        <f t="shared" si="16"/>
        <v>51475.501083333336</v>
      </c>
      <c r="H81" s="20">
        <v>57000</v>
      </c>
      <c r="I81" s="24">
        <f t="shared" si="19"/>
        <v>160.28344862493674</v>
      </c>
      <c r="J81" s="20"/>
      <c r="K81" s="24">
        <f t="shared" si="20"/>
        <v>0</v>
      </c>
      <c r="L81" s="20">
        <v>57800</v>
      </c>
      <c r="M81" s="24">
        <f t="shared" si="21"/>
        <v>162.53304088633934</v>
      </c>
      <c r="N81" s="20">
        <v>73500</v>
      </c>
      <c r="O81" s="24">
        <f t="shared" si="22"/>
        <v>206.68128901636578</v>
      </c>
      <c r="P81" s="22">
        <v>9000</v>
      </c>
      <c r="Q81" s="24">
        <f t="shared" si="23"/>
        <v>25.307912940779485</v>
      </c>
      <c r="R81" s="22">
        <v>6000</v>
      </c>
      <c r="S81" s="24">
        <f t="shared" si="24"/>
        <v>16.871941960519656</v>
      </c>
      <c r="T81" s="22">
        <v>800</v>
      </c>
      <c r="U81" s="24">
        <f t="shared" si="25"/>
        <v>2.2495922614026207</v>
      </c>
      <c r="V81" s="23">
        <v>97.25</v>
      </c>
      <c r="W81" s="22">
        <f t="shared" si="18"/>
        <v>62496.785023148142</v>
      </c>
      <c r="X81" s="24">
        <f t="shared" si="26"/>
        <v>175.74035493827159</v>
      </c>
      <c r="Y81" s="23">
        <v>97</v>
      </c>
      <c r="Z81" s="22">
        <f t="shared" si="13"/>
        <v>62336.124907407408</v>
      </c>
      <c r="AA81" s="24">
        <f t="shared" si="27"/>
        <v>175.28858024691357</v>
      </c>
      <c r="AB81" s="20">
        <v>97</v>
      </c>
      <c r="AC81" s="22">
        <f t="shared" si="14"/>
        <v>62336.124907407408</v>
      </c>
      <c r="AD81" s="24">
        <f t="shared" si="28"/>
        <v>175.28858024691357</v>
      </c>
      <c r="AE81" s="22"/>
      <c r="AF81" s="22"/>
      <c r="AG81" s="22">
        <v>40</v>
      </c>
      <c r="AH81" s="22">
        <v>103</v>
      </c>
      <c r="AI81" s="22">
        <v>123</v>
      </c>
      <c r="AJ81" s="22">
        <v>143</v>
      </c>
      <c r="AK81" s="22">
        <v>118</v>
      </c>
      <c r="AL81" s="22">
        <v>40</v>
      </c>
      <c r="AM81" s="22">
        <v>5</v>
      </c>
      <c r="AN81" s="25">
        <v>81.7</v>
      </c>
      <c r="AO81" s="25">
        <v>48.9</v>
      </c>
      <c r="AP81" s="26">
        <v>86.89</v>
      </c>
      <c r="AQ81" s="25">
        <v>104</v>
      </c>
      <c r="AR81" s="25">
        <v>106</v>
      </c>
      <c r="AS81" s="25">
        <v>108</v>
      </c>
      <c r="AT81" s="25"/>
    </row>
    <row r="82" spans="2:46">
      <c r="B82" s="11">
        <v>45110</v>
      </c>
      <c r="C82" s="20">
        <v>81.94</v>
      </c>
      <c r="D82" s="21">
        <v>90.25</v>
      </c>
      <c r="E82" s="22">
        <f t="shared" si="17"/>
        <v>57977.07512566138</v>
      </c>
      <c r="F82" s="23">
        <v>81.3</v>
      </c>
      <c r="G82" s="22">
        <f t="shared" si="16"/>
        <v>52227.548007936508</v>
      </c>
      <c r="H82" s="20">
        <v>56300</v>
      </c>
      <c r="I82" s="24">
        <f t="shared" si="19"/>
        <v>158.31505539620943</v>
      </c>
      <c r="J82" s="20"/>
      <c r="K82" s="24">
        <f t="shared" si="20"/>
        <v>0</v>
      </c>
      <c r="L82" s="20">
        <v>56800</v>
      </c>
      <c r="M82" s="24">
        <f t="shared" si="21"/>
        <v>159.72105055958608</v>
      </c>
      <c r="N82" s="20">
        <v>72500</v>
      </c>
      <c r="O82" s="24">
        <f t="shared" si="22"/>
        <v>203.86929868961249</v>
      </c>
      <c r="P82" s="22">
        <v>9000</v>
      </c>
      <c r="Q82" s="24">
        <f t="shared" si="23"/>
        <v>25.307912940779485</v>
      </c>
      <c r="R82" s="22">
        <v>6000</v>
      </c>
      <c r="S82" s="24">
        <f t="shared" si="24"/>
        <v>16.871941960519656</v>
      </c>
      <c r="T82" s="22">
        <v>800</v>
      </c>
      <c r="U82" s="24">
        <f t="shared" si="25"/>
        <v>2.2495922614026207</v>
      </c>
      <c r="V82" s="23">
        <v>97.6</v>
      </c>
      <c r="W82" s="22">
        <f t="shared" si="18"/>
        <v>62698.753820105812</v>
      </c>
      <c r="X82" s="24">
        <f t="shared" si="26"/>
        <v>176.30828924162256</v>
      </c>
      <c r="Y82" s="23">
        <v>97</v>
      </c>
      <c r="Z82" s="22">
        <f t="shared" si="13"/>
        <v>62313.310661375654</v>
      </c>
      <c r="AA82" s="24">
        <f t="shared" si="27"/>
        <v>175.22442680776012</v>
      </c>
      <c r="AB82" s="20">
        <v>97</v>
      </c>
      <c r="AC82" s="22">
        <f t="shared" si="14"/>
        <v>62313.310661375654</v>
      </c>
      <c r="AD82" s="24">
        <f t="shared" si="28"/>
        <v>175.22442680776012</v>
      </c>
      <c r="AE82" s="22"/>
      <c r="AF82" s="22"/>
      <c r="AG82" s="22">
        <v>36</v>
      </c>
      <c r="AH82" s="22">
        <v>95</v>
      </c>
      <c r="AI82" s="22">
        <v>115</v>
      </c>
      <c r="AJ82" s="22">
        <v>140</v>
      </c>
      <c r="AK82" s="22">
        <v>115</v>
      </c>
      <c r="AL82" s="22">
        <v>36</v>
      </c>
      <c r="AM82" s="22">
        <v>5</v>
      </c>
      <c r="AN82" s="25">
        <v>82.4</v>
      </c>
      <c r="AO82" s="25">
        <v>48.2</v>
      </c>
      <c r="AP82" s="26">
        <v>87.25</v>
      </c>
      <c r="AQ82" s="25">
        <v>104</v>
      </c>
      <c r="AR82" s="25">
        <v>106</v>
      </c>
      <c r="AS82" s="25">
        <v>108</v>
      </c>
      <c r="AT82" s="25"/>
    </row>
    <row r="83" spans="2:46">
      <c r="B83" s="11">
        <v>45117</v>
      </c>
      <c r="C83" s="20">
        <v>82.1</v>
      </c>
      <c r="D83" s="21">
        <v>90.6</v>
      </c>
      <c r="E83" s="22">
        <f t="shared" si="17"/>
        <v>58315.564841269843</v>
      </c>
      <c r="F83" s="23">
        <v>81.400000000000006</v>
      </c>
      <c r="G83" s="22">
        <f t="shared" si="16"/>
        <v>52393.896005291004</v>
      </c>
      <c r="H83" s="20">
        <v>55800</v>
      </c>
      <c r="I83" s="24">
        <f t="shared" si="19"/>
        <v>156.90906023283279</v>
      </c>
      <c r="J83" s="20"/>
      <c r="K83" s="24">
        <f t="shared" si="20"/>
        <v>0</v>
      </c>
      <c r="L83" s="20">
        <v>56300</v>
      </c>
      <c r="M83" s="24">
        <f t="shared" si="21"/>
        <v>158.31505539620943</v>
      </c>
      <c r="N83" s="20">
        <v>72500</v>
      </c>
      <c r="O83" s="24">
        <f t="shared" si="22"/>
        <v>203.86929868961249</v>
      </c>
      <c r="P83" s="22">
        <v>9000</v>
      </c>
      <c r="Q83" s="24">
        <f t="shared" si="23"/>
        <v>25.307912940779485</v>
      </c>
      <c r="R83" s="22">
        <v>6000</v>
      </c>
      <c r="S83" s="24">
        <f t="shared" si="24"/>
        <v>16.871941960519656</v>
      </c>
      <c r="T83" s="22">
        <v>1000</v>
      </c>
      <c r="U83" s="24">
        <f t="shared" si="25"/>
        <v>2.8119903267532758</v>
      </c>
      <c r="V83" s="27">
        <v>98.25</v>
      </c>
      <c r="W83" s="22">
        <f t="shared" si="18"/>
        <v>63239.56121031745</v>
      </c>
      <c r="X83" s="24">
        <f t="shared" si="26"/>
        <v>177.82903439153435</v>
      </c>
      <c r="Y83" s="27">
        <v>100.25</v>
      </c>
      <c r="Z83" s="22">
        <f t="shared" si="13"/>
        <v>64526.880522486776</v>
      </c>
      <c r="AA83" s="24">
        <f t="shared" si="27"/>
        <v>181.44896384479719</v>
      </c>
      <c r="AB83" s="21">
        <v>96.75</v>
      </c>
      <c r="AC83" s="22">
        <f t="shared" si="14"/>
        <v>62274.071726190465</v>
      </c>
      <c r="AD83" s="24">
        <f t="shared" si="28"/>
        <v>175.11408730158726</v>
      </c>
      <c r="AE83" s="22"/>
      <c r="AF83" s="22"/>
      <c r="AG83" s="22">
        <v>40</v>
      </c>
      <c r="AH83" s="22">
        <v>98</v>
      </c>
      <c r="AI83" s="22">
        <v>115</v>
      </c>
      <c r="AJ83" s="22">
        <v>135</v>
      </c>
      <c r="AK83" s="22">
        <v>110</v>
      </c>
      <c r="AL83" s="22">
        <v>42</v>
      </c>
      <c r="AM83" s="22">
        <v>5</v>
      </c>
      <c r="AN83" s="25">
        <v>86</v>
      </c>
      <c r="AO83" s="25">
        <v>48.2</v>
      </c>
      <c r="AP83" s="26">
        <v>90.35</v>
      </c>
      <c r="AQ83" s="25">
        <v>104</v>
      </c>
      <c r="AR83" s="25">
        <v>106</v>
      </c>
      <c r="AS83" s="25">
        <v>108</v>
      </c>
      <c r="AT83" s="25"/>
    </row>
    <row r="84" spans="2:46">
      <c r="B84" s="11">
        <v>45124</v>
      </c>
      <c r="C84" s="20">
        <v>82.16</v>
      </c>
      <c r="D84" s="21">
        <v>91.9</v>
      </c>
      <c r="E84" s="22">
        <f t="shared" si="17"/>
        <v>59195.551862433873</v>
      </c>
      <c r="F84" s="23">
        <v>81.42</v>
      </c>
      <c r="G84" s="22">
        <f t="shared" si="16"/>
        <v>52445.068907936511</v>
      </c>
      <c r="H84" s="20">
        <v>56000</v>
      </c>
      <c r="I84" s="24">
        <f t="shared" si="19"/>
        <v>157.47145829818345</v>
      </c>
      <c r="J84" s="20"/>
      <c r="K84" s="24">
        <f t="shared" si="20"/>
        <v>0</v>
      </c>
      <c r="L84" s="20">
        <v>56500</v>
      </c>
      <c r="M84" s="24">
        <f t="shared" si="21"/>
        <v>158.87745346156009</v>
      </c>
      <c r="N84" s="20">
        <v>72500</v>
      </c>
      <c r="O84" s="24">
        <f t="shared" si="22"/>
        <v>203.86929868961249</v>
      </c>
      <c r="P84" s="22">
        <v>9000</v>
      </c>
      <c r="Q84" s="24">
        <f t="shared" si="23"/>
        <v>25.307912940779485</v>
      </c>
      <c r="R84" s="22">
        <v>6000</v>
      </c>
      <c r="S84" s="24">
        <f t="shared" si="24"/>
        <v>16.871941960519656</v>
      </c>
      <c r="T84" s="22">
        <v>900</v>
      </c>
      <c r="U84" s="24">
        <f t="shared" si="25"/>
        <v>2.5307912940779485</v>
      </c>
      <c r="V84" s="27">
        <v>98.25</v>
      </c>
      <c r="W84" s="22">
        <f t="shared" si="18"/>
        <v>63285.777698412698</v>
      </c>
      <c r="X84" s="24">
        <f t="shared" si="26"/>
        <v>177.95899470899471</v>
      </c>
      <c r="Y84" s="27">
        <v>101</v>
      </c>
      <c r="Z84" s="22">
        <f t="shared" si="13"/>
        <v>65057.135343915346</v>
      </c>
      <c r="AA84" s="24">
        <f t="shared" si="27"/>
        <v>182.94003527336861</v>
      </c>
      <c r="AB84" s="21">
        <v>96.75</v>
      </c>
      <c r="AC84" s="22">
        <f t="shared" si="14"/>
        <v>62319.582619047615</v>
      </c>
      <c r="AD84" s="24">
        <f t="shared" si="28"/>
        <v>175.24206349206347</v>
      </c>
      <c r="AE84" s="22"/>
      <c r="AF84" s="22"/>
      <c r="AG84" s="22">
        <v>40</v>
      </c>
      <c r="AH84" s="22">
        <v>98</v>
      </c>
      <c r="AI84" s="22">
        <v>115</v>
      </c>
      <c r="AJ84" s="22">
        <v>135</v>
      </c>
      <c r="AK84" s="22">
        <v>110</v>
      </c>
      <c r="AL84" s="22">
        <v>42</v>
      </c>
      <c r="AM84" s="22">
        <v>5</v>
      </c>
      <c r="AN84" s="25">
        <v>86</v>
      </c>
      <c r="AO84" s="25">
        <v>48.2</v>
      </c>
      <c r="AP84" s="26">
        <v>90.35</v>
      </c>
      <c r="AQ84" s="25">
        <v>104</v>
      </c>
      <c r="AR84" s="25">
        <v>106</v>
      </c>
      <c r="AS84" s="25">
        <v>108</v>
      </c>
      <c r="AT84" s="25"/>
    </row>
    <row r="85" spans="2:46">
      <c r="B85" s="11">
        <v>45131</v>
      </c>
      <c r="C85" s="20">
        <v>81.900000000000006</v>
      </c>
      <c r="D85" s="21">
        <v>94.35</v>
      </c>
      <c r="E85" s="22">
        <f t="shared" si="17"/>
        <v>60581.348750000012</v>
      </c>
      <c r="F85" s="23">
        <v>84.32</v>
      </c>
      <c r="G85" s="22">
        <f t="shared" si="16"/>
        <v>54141.169333333324</v>
      </c>
      <c r="H85" s="20">
        <v>57300</v>
      </c>
      <c r="I85" s="24">
        <f t="shared" si="19"/>
        <v>161.12704572296272</v>
      </c>
      <c r="J85" s="20"/>
      <c r="K85" s="24">
        <f t="shared" si="20"/>
        <v>0</v>
      </c>
      <c r="L85" s="20">
        <v>57800</v>
      </c>
      <c r="M85" s="24">
        <f t="shared" si="21"/>
        <v>162.53304088633934</v>
      </c>
      <c r="N85" s="20">
        <v>74000</v>
      </c>
      <c r="O85" s="24">
        <f t="shared" si="22"/>
        <v>208.08728417974243</v>
      </c>
      <c r="P85" s="22">
        <v>9000</v>
      </c>
      <c r="Q85" s="24">
        <f t="shared" si="23"/>
        <v>25.307912940779485</v>
      </c>
      <c r="R85" s="22">
        <v>6000</v>
      </c>
      <c r="S85" s="24">
        <f t="shared" si="24"/>
        <v>16.871941960519656</v>
      </c>
      <c r="T85" s="22">
        <v>900</v>
      </c>
      <c r="U85" s="24">
        <f t="shared" si="25"/>
        <v>2.5307912940779485</v>
      </c>
      <c r="V85" s="27">
        <v>101</v>
      </c>
      <c r="W85" s="22">
        <f t="shared" si="18"/>
        <v>64851.258333333339</v>
      </c>
      <c r="X85" s="24">
        <f t="shared" si="26"/>
        <v>182.36111111111111</v>
      </c>
      <c r="Y85" s="27">
        <v>103</v>
      </c>
      <c r="Z85" s="22">
        <f t="shared" si="13"/>
        <v>66135.441666666666</v>
      </c>
      <c r="AA85" s="24">
        <f t="shared" si="27"/>
        <v>185.97222222222223</v>
      </c>
      <c r="AB85" s="21">
        <v>100</v>
      </c>
      <c r="AC85" s="22">
        <f t="shared" si="14"/>
        <v>64209.166666666672</v>
      </c>
      <c r="AD85" s="24">
        <f t="shared" si="28"/>
        <v>180.55555555555557</v>
      </c>
      <c r="AE85" s="22"/>
      <c r="AF85" s="22"/>
      <c r="AG85" s="22">
        <v>40</v>
      </c>
      <c r="AH85" s="22">
        <v>97</v>
      </c>
      <c r="AI85" s="22">
        <v>117</v>
      </c>
      <c r="AJ85" s="22">
        <v>135</v>
      </c>
      <c r="AK85" s="22">
        <v>110</v>
      </c>
      <c r="AL85" s="22">
        <v>45</v>
      </c>
      <c r="AM85" s="22">
        <v>5</v>
      </c>
      <c r="AN85" s="25">
        <v>85.5</v>
      </c>
      <c r="AO85" s="25">
        <v>50.1</v>
      </c>
      <c r="AP85" s="26">
        <v>90.56</v>
      </c>
      <c r="AQ85" s="25">
        <v>104</v>
      </c>
      <c r="AR85" s="25">
        <v>106</v>
      </c>
      <c r="AS85" s="25">
        <v>108</v>
      </c>
      <c r="AT85" s="25"/>
    </row>
    <row r="86" spans="2:46">
      <c r="B86" s="11">
        <v>45138</v>
      </c>
      <c r="C86" s="20">
        <v>82.26</v>
      </c>
      <c r="D86" s="21">
        <v>98</v>
      </c>
      <c r="E86" s="22">
        <f t="shared" si="17"/>
        <v>63201.576666666668</v>
      </c>
      <c r="F86" s="23">
        <v>85.97</v>
      </c>
      <c r="G86" s="22">
        <f t="shared" si="16"/>
        <v>55443.260673809527</v>
      </c>
      <c r="H86" s="20">
        <v>58200</v>
      </c>
      <c r="I86" s="24">
        <f t="shared" si="19"/>
        <v>163.65783701704066</v>
      </c>
      <c r="J86" s="20"/>
      <c r="K86" s="24">
        <f t="shared" si="20"/>
        <v>0</v>
      </c>
      <c r="L86" s="20">
        <v>58500</v>
      </c>
      <c r="M86" s="24">
        <f t="shared" si="21"/>
        <v>164.50143411506664</v>
      </c>
      <c r="N86" s="20">
        <v>75000</v>
      </c>
      <c r="O86" s="24">
        <f t="shared" si="22"/>
        <v>210.89927450649569</v>
      </c>
      <c r="P86" s="22">
        <v>9000</v>
      </c>
      <c r="Q86" s="24">
        <f t="shared" si="23"/>
        <v>25.307912940779485</v>
      </c>
      <c r="R86" s="22">
        <v>6000</v>
      </c>
      <c r="S86" s="24">
        <f t="shared" si="24"/>
        <v>16.871941960519656</v>
      </c>
      <c r="T86" s="22">
        <v>900</v>
      </c>
      <c r="U86" s="24">
        <f t="shared" si="25"/>
        <v>2.5307912940779485</v>
      </c>
      <c r="V86" s="27">
        <v>101</v>
      </c>
      <c r="W86" s="22">
        <f t="shared" si="18"/>
        <v>65136.318809523815</v>
      </c>
      <c r="X86" s="24">
        <f t="shared" si="26"/>
        <v>183.16269841269843</v>
      </c>
      <c r="Y86" s="27">
        <v>103</v>
      </c>
      <c r="Z86" s="22">
        <f t="shared" si="13"/>
        <v>66426.146904761903</v>
      </c>
      <c r="AA86" s="24">
        <f t="shared" si="27"/>
        <v>186.78968253968253</v>
      </c>
      <c r="AB86" s="21">
        <v>99.75</v>
      </c>
      <c r="AC86" s="22">
        <f t="shared" si="14"/>
        <v>64330.176249999997</v>
      </c>
      <c r="AD86" s="24">
        <f t="shared" si="28"/>
        <v>180.89583333333331</v>
      </c>
      <c r="AE86" s="22"/>
      <c r="AF86" s="22"/>
      <c r="AG86" s="22">
        <v>40</v>
      </c>
      <c r="AH86" s="22">
        <v>95</v>
      </c>
      <c r="AI86" s="22">
        <v>120</v>
      </c>
      <c r="AJ86" s="22">
        <v>135</v>
      </c>
      <c r="AK86" s="22">
        <v>110</v>
      </c>
      <c r="AL86" s="22">
        <v>45</v>
      </c>
      <c r="AM86" s="22">
        <v>5</v>
      </c>
      <c r="AN86" s="25">
        <v>86.6</v>
      </c>
      <c r="AO86" s="25">
        <v>50.1</v>
      </c>
      <c r="AP86" s="26">
        <v>91.51</v>
      </c>
      <c r="AQ86" s="25">
        <v>104</v>
      </c>
      <c r="AR86" s="25">
        <v>106</v>
      </c>
      <c r="AS86" s="25">
        <v>108</v>
      </c>
      <c r="AT86" s="25"/>
    </row>
    <row r="87" spans="2:46">
      <c r="B87" s="11">
        <v>45145</v>
      </c>
      <c r="C87" s="20">
        <v>82.74</v>
      </c>
      <c r="D87" s="21">
        <v>95.6</v>
      </c>
      <c r="E87" s="22">
        <f t="shared" si="17"/>
        <v>62013.542444444429</v>
      </c>
      <c r="F87" s="23">
        <v>85.13</v>
      </c>
      <c r="G87" s="22">
        <f t="shared" si="16"/>
        <v>55221.89192777776</v>
      </c>
      <c r="H87" s="20">
        <v>59800</v>
      </c>
      <c r="I87" s="24">
        <f t="shared" si="19"/>
        <v>168.15702153984591</v>
      </c>
      <c r="J87" s="20"/>
      <c r="K87" s="24">
        <f t="shared" si="20"/>
        <v>0</v>
      </c>
      <c r="L87" s="20">
        <v>59800</v>
      </c>
      <c r="M87" s="24">
        <f t="shared" si="21"/>
        <v>168.15702153984591</v>
      </c>
      <c r="N87" s="20">
        <v>76000</v>
      </c>
      <c r="O87" s="24">
        <f t="shared" si="22"/>
        <v>213.71126483324898</v>
      </c>
      <c r="P87" s="22">
        <v>9000</v>
      </c>
      <c r="Q87" s="24">
        <f t="shared" si="23"/>
        <v>25.307912940779485</v>
      </c>
      <c r="R87" s="22">
        <v>6000</v>
      </c>
      <c r="S87" s="24">
        <f t="shared" si="24"/>
        <v>16.871941960519656</v>
      </c>
      <c r="T87" s="22">
        <v>900</v>
      </c>
      <c r="U87" s="24">
        <f t="shared" si="25"/>
        <v>2.5307912940779485</v>
      </c>
      <c r="V87" s="27">
        <v>101.5</v>
      </c>
      <c r="W87" s="22">
        <f t="shared" si="18"/>
        <v>65840.738055555557</v>
      </c>
      <c r="X87" s="24">
        <f t="shared" si="26"/>
        <v>185.14351851851853</v>
      </c>
      <c r="Y87" s="27">
        <v>103</v>
      </c>
      <c r="Z87" s="22">
        <f t="shared" si="13"/>
        <v>66813.753888888896</v>
      </c>
      <c r="AA87" s="24">
        <f t="shared" si="27"/>
        <v>187.87962962962965</v>
      </c>
      <c r="AB87" s="21">
        <v>101.25</v>
      </c>
      <c r="AC87" s="22">
        <f t="shared" si="14"/>
        <v>65678.568749999991</v>
      </c>
      <c r="AD87" s="24">
        <f t="shared" si="28"/>
        <v>184.68749999999997</v>
      </c>
      <c r="AE87" s="22"/>
      <c r="AF87" s="22"/>
      <c r="AG87" s="22">
        <v>42</v>
      </c>
      <c r="AH87" s="22">
        <v>96</v>
      </c>
      <c r="AI87" s="22">
        <v>122</v>
      </c>
      <c r="AJ87" s="22">
        <v>135</v>
      </c>
      <c r="AK87" s="22">
        <v>115</v>
      </c>
      <c r="AL87" s="22">
        <v>45</v>
      </c>
      <c r="AM87" s="22">
        <v>5</v>
      </c>
      <c r="AN87" s="25">
        <v>88</v>
      </c>
      <c r="AO87" s="25">
        <v>51.8</v>
      </c>
      <c r="AP87" s="26">
        <v>93.29</v>
      </c>
      <c r="AQ87" s="25">
        <v>104</v>
      </c>
      <c r="AR87" s="25">
        <v>106</v>
      </c>
      <c r="AS87" s="25">
        <v>108</v>
      </c>
      <c r="AT87" s="25"/>
    </row>
    <row r="88" spans="2:46">
      <c r="B88" s="11">
        <v>45152</v>
      </c>
      <c r="C88" s="20">
        <v>82.98</v>
      </c>
      <c r="D88" s="21">
        <v>95.1</v>
      </c>
      <c r="E88" s="22">
        <f t="shared" si="17"/>
        <v>61868.142785714284</v>
      </c>
      <c r="F88" s="23">
        <v>85.64</v>
      </c>
      <c r="G88" s="22">
        <f t="shared" si="16"/>
        <v>55713.856447619051</v>
      </c>
      <c r="H88" s="20">
        <v>61200</v>
      </c>
      <c r="I88" s="24">
        <f t="shared" si="19"/>
        <v>172.09380799730047</v>
      </c>
      <c r="J88" s="20"/>
      <c r="K88" s="24">
        <f t="shared" si="20"/>
        <v>0</v>
      </c>
      <c r="L88" s="20">
        <v>61800</v>
      </c>
      <c r="M88" s="24">
        <f t="shared" si="21"/>
        <v>173.78100219335246</v>
      </c>
      <c r="N88" s="20">
        <v>75000</v>
      </c>
      <c r="O88" s="24">
        <f t="shared" si="22"/>
        <v>210.89927450649569</v>
      </c>
      <c r="P88" s="22">
        <v>9000</v>
      </c>
      <c r="Q88" s="24">
        <f t="shared" si="23"/>
        <v>25.307912940779485</v>
      </c>
      <c r="R88" s="22">
        <v>6000</v>
      </c>
      <c r="S88" s="24">
        <f t="shared" si="24"/>
        <v>16.871941960519656</v>
      </c>
      <c r="T88" s="22">
        <v>1000</v>
      </c>
      <c r="U88" s="24">
        <f t="shared" si="25"/>
        <v>2.8119903267532758</v>
      </c>
      <c r="V88" s="27">
        <v>104.75</v>
      </c>
      <c r="W88" s="22">
        <f t="shared" si="18"/>
        <v>68146.035297619048</v>
      </c>
      <c r="X88" s="24">
        <f t="shared" si="26"/>
        <v>191.62599206349205</v>
      </c>
      <c r="Y88" s="27">
        <v>103</v>
      </c>
      <c r="Z88" s="22">
        <f t="shared" si="13"/>
        <v>67007.557380952392</v>
      </c>
      <c r="AA88" s="24">
        <f t="shared" si="27"/>
        <v>188.42460317460319</v>
      </c>
      <c r="AB88" s="21">
        <v>103.5</v>
      </c>
      <c r="AC88" s="22">
        <f t="shared" si="14"/>
        <v>67332.836785714288</v>
      </c>
      <c r="AD88" s="24">
        <f t="shared" si="28"/>
        <v>189.33928571428572</v>
      </c>
      <c r="AE88" s="22"/>
      <c r="AF88" s="22"/>
      <c r="AG88" s="22">
        <v>42</v>
      </c>
      <c r="AH88" s="22">
        <v>102</v>
      </c>
      <c r="AI88" s="22">
        <v>126</v>
      </c>
      <c r="AJ88" s="22">
        <v>140</v>
      </c>
      <c r="AK88" s="22">
        <v>120</v>
      </c>
      <c r="AL88" s="22">
        <v>45</v>
      </c>
      <c r="AM88" s="22">
        <v>5</v>
      </c>
      <c r="AN88" s="25">
        <v>88</v>
      </c>
      <c r="AO88" s="25">
        <v>51.8</v>
      </c>
      <c r="AP88" s="26">
        <v>93.29</v>
      </c>
      <c r="AQ88" s="25">
        <v>104</v>
      </c>
      <c r="AR88" s="25">
        <v>106</v>
      </c>
      <c r="AS88" s="25">
        <v>108</v>
      </c>
      <c r="AT88" s="25"/>
    </row>
    <row r="89" spans="2:46">
      <c r="B89" s="11">
        <v>45159</v>
      </c>
      <c r="C89" s="20">
        <v>83.13</v>
      </c>
      <c r="D89" s="21">
        <v>94.1</v>
      </c>
      <c r="E89" s="22">
        <f t="shared" si="17"/>
        <v>61328.244829365074</v>
      </c>
      <c r="F89" s="23">
        <v>84.68</v>
      </c>
      <c r="G89" s="22">
        <f t="shared" si="16"/>
        <v>55188.902998412697</v>
      </c>
      <c r="H89" s="20">
        <v>61000</v>
      </c>
      <c r="I89" s="24">
        <f t="shared" si="19"/>
        <v>171.53140993194984</v>
      </c>
      <c r="J89" s="20"/>
      <c r="K89" s="24">
        <f t="shared" si="20"/>
        <v>0</v>
      </c>
      <c r="L89" s="20">
        <v>62000</v>
      </c>
      <c r="M89" s="24">
        <f t="shared" si="21"/>
        <v>174.3434002587031</v>
      </c>
      <c r="N89" s="20">
        <v>74000</v>
      </c>
      <c r="O89" s="24">
        <f t="shared" si="22"/>
        <v>208.08728417974243</v>
      </c>
      <c r="P89" s="22">
        <v>9000</v>
      </c>
      <c r="Q89" s="24">
        <f t="shared" si="23"/>
        <v>25.307912940779485</v>
      </c>
      <c r="R89" s="22">
        <v>6000</v>
      </c>
      <c r="S89" s="24">
        <f t="shared" si="24"/>
        <v>16.871941960519656</v>
      </c>
      <c r="T89" s="22">
        <v>1000</v>
      </c>
      <c r="U89" s="24">
        <f t="shared" si="25"/>
        <v>2.8119903267532758</v>
      </c>
      <c r="V89" s="27">
        <v>100.25</v>
      </c>
      <c r="W89" s="22">
        <f t="shared" si="18"/>
        <v>65336.41385912698</v>
      </c>
      <c r="X89" s="24">
        <f t="shared" si="26"/>
        <v>183.72536375661375</v>
      </c>
      <c r="Y89" s="27">
        <v>99</v>
      </c>
      <c r="Z89" s="22">
        <f t="shared" si="13"/>
        <v>64521.745357142856</v>
      </c>
      <c r="AA89" s="24">
        <f t="shared" si="27"/>
        <v>181.4345238095238</v>
      </c>
      <c r="AB89" s="21">
        <v>98</v>
      </c>
      <c r="AC89" s="22">
        <f t="shared" si="14"/>
        <v>63870.010555555549</v>
      </c>
      <c r="AD89" s="24">
        <f t="shared" si="28"/>
        <v>179.60185185185182</v>
      </c>
      <c r="AE89" s="22"/>
      <c r="AF89" s="22"/>
      <c r="AG89" s="22">
        <v>42</v>
      </c>
      <c r="AH89" s="22">
        <v>102</v>
      </c>
      <c r="AI89" s="22">
        <v>126</v>
      </c>
      <c r="AJ89" s="22">
        <v>140</v>
      </c>
      <c r="AK89" s="22">
        <v>120</v>
      </c>
      <c r="AL89" s="22">
        <v>45</v>
      </c>
      <c r="AM89" s="22">
        <v>5</v>
      </c>
      <c r="AN89" s="25">
        <v>86.7</v>
      </c>
      <c r="AO89" s="25">
        <v>52.2</v>
      </c>
      <c r="AP89" s="26">
        <v>92.31</v>
      </c>
      <c r="AQ89" s="25">
        <v>104</v>
      </c>
      <c r="AR89" s="25">
        <v>106</v>
      </c>
      <c r="AS89" s="25">
        <v>108</v>
      </c>
      <c r="AT89" s="25"/>
    </row>
    <row r="90" spans="2:46">
      <c r="B90" s="11">
        <v>45167</v>
      </c>
      <c r="C90" s="20">
        <v>82.65</v>
      </c>
      <c r="D90" s="21">
        <v>95.85</v>
      </c>
      <c r="E90" s="22">
        <f t="shared" si="17"/>
        <v>62108.080446428576</v>
      </c>
      <c r="F90" s="23">
        <v>86.74</v>
      </c>
      <c r="G90" s="22">
        <f t="shared" si="16"/>
        <v>56205.058924603181</v>
      </c>
      <c r="H90" s="20">
        <v>60800</v>
      </c>
      <c r="I90" s="24">
        <f t="shared" si="19"/>
        <v>170.96901186659917</v>
      </c>
      <c r="J90" s="20"/>
      <c r="K90" s="24">
        <f t="shared" si="20"/>
        <v>0</v>
      </c>
      <c r="L90" s="20">
        <v>61500</v>
      </c>
      <c r="M90" s="24">
        <f t="shared" si="21"/>
        <v>172.93740509532648</v>
      </c>
      <c r="N90" s="20">
        <v>74000</v>
      </c>
      <c r="O90" s="24">
        <f t="shared" si="22"/>
        <v>208.08728417974243</v>
      </c>
      <c r="P90" s="22">
        <v>9000</v>
      </c>
      <c r="Q90" s="24">
        <f t="shared" si="23"/>
        <v>25.307912940779485</v>
      </c>
      <c r="R90" s="22">
        <v>6000</v>
      </c>
      <c r="S90" s="24">
        <f t="shared" si="24"/>
        <v>16.871941960519656</v>
      </c>
      <c r="T90" s="22">
        <v>1000</v>
      </c>
      <c r="U90" s="24">
        <f t="shared" si="25"/>
        <v>2.8119903267532758</v>
      </c>
      <c r="V90" s="27">
        <v>103.5</v>
      </c>
      <c r="W90" s="22">
        <f t="shared" si="18"/>
        <v>67065.063392857148</v>
      </c>
      <c r="X90" s="24">
        <f t="shared" si="26"/>
        <v>188.58630952380955</v>
      </c>
      <c r="Y90" s="27">
        <v>103</v>
      </c>
      <c r="Z90" s="22">
        <f t="shared" si="13"/>
        <v>66741.077579365083</v>
      </c>
      <c r="AA90" s="24">
        <f t="shared" si="27"/>
        <v>187.67526455026456</v>
      </c>
      <c r="AB90" s="21">
        <v>101.75</v>
      </c>
      <c r="AC90" s="22">
        <f t="shared" si="14"/>
        <v>65931.11304563492</v>
      </c>
      <c r="AD90" s="24">
        <f t="shared" si="28"/>
        <v>185.3976521164021</v>
      </c>
      <c r="AE90" s="22"/>
      <c r="AF90" s="22"/>
      <c r="AG90" s="22">
        <v>42</v>
      </c>
      <c r="AH90" s="22">
        <v>102</v>
      </c>
      <c r="AI90" s="22">
        <v>126</v>
      </c>
      <c r="AJ90" s="22">
        <v>140</v>
      </c>
      <c r="AK90" s="22">
        <v>120</v>
      </c>
      <c r="AL90" s="22">
        <v>45</v>
      </c>
      <c r="AM90" s="22">
        <v>5</v>
      </c>
      <c r="AN90" s="25">
        <v>86.9</v>
      </c>
      <c r="AO90" s="25">
        <v>51.7</v>
      </c>
      <c r="AP90" s="26">
        <v>92.31</v>
      </c>
      <c r="AQ90" s="25">
        <v>106</v>
      </c>
      <c r="AR90" s="25">
        <v>106.5</v>
      </c>
      <c r="AS90" s="25">
        <v>107.5</v>
      </c>
      <c r="AT90" s="25"/>
    </row>
    <row r="91" spans="2:46">
      <c r="B91" s="11">
        <v>45173</v>
      </c>
      <c r="C91" s="20">
        <v>82.71</v>
      </c>
      <c r="D91" s="21">
        <v>98.05</v>
      </c>
      <c r="E91" s="22">
        <f t="shared" si="17"/>
        <v>63579.740434523803</v>
      </c>
      <c r="F91" s="23">
        <v>89.98</v>
      </c>
      <c r="G91" s="22">
        <f t="shared" si="16"/>
        <v>58346.813302380942</v>
      </c>
      <c r="H91" s="20">
        <v>62500</v>
      </c>
      <c r="I91" s="24">
        <f t="shared" si="19"/>
        <v>175.74939542207974</v>
      </c>
      <c r="J91" s="20"/>
      <c r="K91" s="24">
        <f t="shared" si="20"/>
        <v>0</v>
      </c>
      <c r="L91" s="20">
        <v>62500</v>
      </c>
      <c r="M91" s="24">
        <f t="shared" si="21"/>
        <v>175.74939542207974</v>
      </c>
      <c r="N91" s="20">
        <v>74000</v>
      </c>
      <c r="O91" s="24">
        <f t="shared" si="22"/>
        <v>208.08728417974243</v>
      </c>
      <c r="P91" s="22">
        <v>9000</v>
      </c>
      <c r="Q91" s="24">
        <f t="shared" si="23"/>
        <v>25.307912940779485</v>
      </c>
      <c r="R91" s="22">
        <v>6000</v>
      </c>
      <c r="S91" s="24">
        <f t="shared" si="24"/>
        <v>16.871941960519656</v>
      </c>
      <c r="T91" s="22">
        <v>1000</v>
      </c>
      <c r="U91" s="24">
        <f t="shared" si="25"/>
        <v>2.8119903267532758</v>
      </c>
      <c r="V91" s="27">
        <v>106.5</v>
      </c>
      <c r="W91" s="22">
        <f t="shared" si="18"/>
        <v>69059.075535714277</v>
      </c>
      <c r="X91" s="24">
        <f t="shared" si="26"/>
        <v>194.19345238095235</v>
      </c>
      <c r="Y91" s="27">
        <v>106.24</v>
      </c>
      <c r="Z91" s="22">
        <f t="shared" si="13"/>
        <v>68890.480609523787</v>
      </c>
      <c r="AA91" s="24">
        <f t="shared" si="27"/>
        <v>193.71936507936502</v>
      </c>
      <c r="AB91" s="21">
        <v>104.25</v>
      </c>
      <c r="AC91" s="22">
        <f t="shared" si="14"/>
        <v>67600.080982142856</v>
      </c>
      <c r="AD91" s="24">
        <f t="shared" si="28"/>
        <v>190.0907738095238</v>
      </c>
      <c r="AE91" s="22"/>
      <c r="AF91" s="22"/>
      <c r="AG91" s="22">
        <v>43</v>
      </c>
      <c r="AH91" s="22">
        <v>103</v>
      </c>
      <c r="AI91" s="22">
        <v>128</v>
      </c>
      <c r="AJ91" s="22">
        <v>140</v>
      </c>
      <c r="AK91" s="22">
        <v>120</v>
      </c>
      <c r="AL91" s="22">
        <v>45</v>
      </c>
      <c r="AM91" s="22">
        <v>5</v>
      </c>
      <c r="AN91" s="25">
        <v>86.9</v>
      </c>
      <c r="AO91" s="25">
        <v>51.7</v>
      </c>
      <c r="AP91" s="26">
        <v>92.311999999999998</v>
      </c>
      <c r="AQ91" s="25">
        <v>106</v>
      </c>
      <c r="AR91" s="25">
        <v>106.5</v>
      </c>
      <c r="AS91" s="25">
        <v>107.5</v>
      </c>
      <c r="AT91" s="25"/>
    </row>
    <row r="92" spans="2:46">
      <c r="B92" s="11">
        <v>45180</v>
      </c>
      <c r="C92" s="20">
        <v>82.88</v>
      </c>
      <c r="D92" s="21">
        <v>97.4</v>
      </c>
      <c r="E92" s="22">
        <f t="shared" si="17"/>
        <v>63288.06696296297</v>
      </c>
      <c r="F92" s="23">
        <v>86.73</v>
      </c>
      <c r="G92" s="22">
        <f t="shared" si="16"/>
        <v>56354.969688888894</v>
      </c>
      <c r="H92" s="20">
        <v>62500</v>
      </c>
      <c r="I92" s="24">
        <f t="shared" si="19"/>
        <v>175.74939542207974</v>
      </c>
      <c r="J92" s="20"/>
      <c r="K92" s="24">
        <f t="shared" si="20"/>
        <v>0</v>
      </c>
      <c r="L92" s="20">
        <v>62000</v>
      </c>
      <c r="M92" s="24">
        <f t="shared" si="21"/>
        <v>174.3434002587031</v>
      </c>
      <c r="N92" s="20">
        <v>74000</v>
      </c>
      <c r="O92" s="24">
        <f t="shared" si="22"/>
        <v>208.08728417974243</v>
      </c>
      <c r="P92" s="22">
        <v>9000</v>
      </c>
      <c r="Q92" s="24">
        <f t="shared" si="23"/>
        <v>25.307912940779485</v>
      </c>
      <c r="R92" s="22">
        <v>6000</v>
      </c>
      <c r="S92" s="24">
        <f t="shared" si="24"/>
        <v>16.871941960519656</v>
      </c>
      <c r="T92" s="22">
        <v>1000</v>
      </c>
      <c r="U92" s="24">
        <f t="shared" si="25"/>
        <v>2.8119903267532758</v>
      </c>
      <c r="V92" s="27">
        <v>102.25</v>
      </c>
      <c r="W92" s="22">
        <f t="shared" si="18"/>
        <v>66439.474814814806</v>
      </c>
      <c r="X92" s="24">
        <f t="shared" si="26"/>
        <v>186.82716049382714</v>
      </c>
      <c r="Y92" s="27">
        <v>105</v>
      </c>
      <c r="Z92" s="22">
        <f t="shared" si="13"/>
        <v>68226.35555555555</v>
      </c>
      <c r="AA92" s="24">
        <f t="shared" si="27"/>
        <v>191.85185185185185</v>
      </c>
      <c r="AB92" s="21">
        <v>100</v>
      </c>
      <c r="AC92" s="22">
        <f t="shared" si="14"/>
        <v>64977.481481481482</v>
      </c>
      <c r="AD92" s="24">
        <f t="shared" si="28"/>
        <v>182.71604938271605</v>
      </c>
      <c r="AE92" s="22"/>
      <c r="AF92" s="22"/>
      <c r="AG92" s="22">
        <v>43</v>
      </c>
      <c r="AH92" s="22">
        <v>103</v>
      </c>
      <c r="AI92" s="22">
        <v>128</v>
      </c>
      <c r="AJ92" s="22">
        <v>135</v>
      </c>
      <c r="AK92" s="22">
        <v>115</v>
      </c>
      <c r="AL92" s="22">
        <v>43</v>
      </c>
      <c r="AM92" s="22">
        <v>3</v>
      </c>
      <c r="AN92" s="25">
        <v>88.1</v>
      </c>
      <c r="AO92" s="25">
        <v>51.7</v>
      </c>
      <c r="AP92" s="26">
        <v>93.34</v>
      </c>
      <c r="AQ92" s="25">
        <v>106</v>
      </c>
      <c r="AR92" s="25">
        <v>106.5</v>
      </c>
      <c r="AS92" s="25">
        <v>107.5</v>
      </c>
      <c r="AT92" s="25"/>
    </row>
    <row r="93" spans="2:46">
      <c r="B93" s="11">
        <v>45187</v>
      </c>
      <c r="C93" s="20">
        <v>83.21</v>
      </c>
      <c r="D93" s="21">
        <v>98.5</v>
      </c>
      <c r="E93" s="22">
        <f t="shared" si="17"/>
        <v>64257.656739417987</v>
      </c>
      <c r="F93" s="23">
        <v>86.94</v>
      </c>
      <c r="G93" s="22">
        <f t="shared" si="16"/>
        <v>56716.352049999994</v>
      </c>
      <c r="H93" s="20">
        <v>61500</v>
      </c>
      <c r="I93" s="24">
        <f t="shared" si="19"/>
        <v>172.93740509532648</v>
      </c>
      <c r="J93" s="20"/>
      <c r="K93" s="24">
        <f t="shared" si="20"/>
        <v>0</v>
      </c>
      <c r="L93" s="20">
        <v>62000</v>
      </c>
      <c r="M93" s="24">
        <f t="shared" si="21"/>
        <v>174.3434002587031</v>
      </c>
      <c r="N93" s="20">
        <v>74000</v>
      </c>
      <c r="O93" s="24">
        <f t="shared" si="22"/>
        <v>208.08728417974243</v>
      </c>
      <c r="P93" s="22">
        <v>9000</v>
      </c>
      <c r="Q93" s="24">
        <f t="shared" si="23"/>
        <v>25.307912940779485</v>
      </c>
      <c r="R93" s="22">
        <v>6000</v>
      </c>
      <c r="S93" s="24">
        <f t="shared" si="24"/>
        <v>16.871941960519656</v>
      </c>
      <c r="T93" s="22">
        <v>1000</v>
      </c>
      <c r="U93" s="24">
        <f t="shared" si="25"/>
        <v>2.8119903267532758</v>
      </c>
      <c r="V93" s="27">
        <v>102.25</v>
      </c>
      <c r="W93" s="22">
        <f t="shared" si="18"/>
        <v>66704.014229497348</v>
      </c>
      <c r="X93" s="24">
        <f t="shared" si="26"/>
        <v>187.57104276895942</v>
      </c>
      <c r="Y93" s="27">
        <v>107.25</v>
      </c>
      <c r="Z93" s="22">
        <f t="shared" si="13"/>
        <v>69965.824216269844</v>
      </c>
      <c r="AA93" s="24">
        <f t="shared" si="27"/>
        <v>196.74322089947091</v>
      </c>
      <c r="AB93" s="21">
        <v>101</v>
      </c>
      <c r="AC93" s="22">
        <f t="shared" si="14"/>
        <v>65888.561732804228</v>
      </c>
      <c r="AD93" s="24">
        <f t="shared" si="28"/>
        <v>185.27799823633154</v>
      </c>
      <c r="AE93" s="22"/>
      <c r="AF93" s="22"/>
      <c r="AG93" s="22">
        <v>43</v>
      </c>
      <c r="AH93" s="22">
        <v>103</v>
      </c>
      <c r="AI93" s="22">
        <v>128</v>
      </c>
      <c r="AJ93" s="22">
        <v>135</v>
      </c>
      <c r="AK93" s="22">
        <v>115</v>
      </c>
      <c r="AL93" s="22">
        <v>43</v>
      </c>
      <c r="AM93" s="22">
        <v>5</v>
      </c>
      <c r="AN93" s="25">
        <v>90.2</v>
      </c>
      <c r="AO93" s="25">
        <v>54.4</v>
      </c>
      <c r="AP93" s="26">
        <v>96.07</v>
      </c>
      <c r="AQ93" s="25">
        <v>103</v>
      </c>
      <c r="AR93" s="25">
        <v>105</v>
      </c>
      <c r="AS93" s="25">
        <v>107</v>
      </c>
      <c r="AT93" s="25"/>
    </row>
    <row r="94" spans="2:46">
      <c r="B94" s="11">
        <v>45194</v>
      </c>
      <c r="C94" s="20">
        <v>83.11</v>
      </c>
      <c r="D94" s="21">
        <v>96.95</v>
      </c>
      <c r="E94" s="22">
        <f t="shared" si="17"/>
        <v>63170.487356481477</v>
      </c>
      <c r="F94" s="23">
        <v>85.97</v>
      </c>
      <c r="G94" s="22">
        <f t="shared" si="16"/>
        <v>56016.160887433856</v>
      </c>
      <c r="H94" s="20">
        <v>61000</v>
      </c>
      <c r="I94" s="24">
        <f t="shared" si="19"/>
        <v>171.53140993194984</v>
      </c>
      <c r="J94" s="20"/>
      <c r="K94" s="24">
        <f t="shared" si="20"/>
        <v>0</v>
      </c>
      <c r="L94" s="20">
        <v>61500</v>
      </c>
      <c r="M94" s="24">
        <f t="shared" si="21"/>
        <v>172.93740509532648</v>
      </c>
      <c r="N94" s="20">
        <v>74000</v>
      </c>
      <c r="O94" s="24">
        <f t="shared" si="22"/>
        <v>208.08728417974243</v>
      </c>
      <c r="P94" s="22">
        <v>9000</v>
      </c>
      <c r="Q94" s="24">
        <f t="shared" si="23"/>
        <v>25.307912940779485</v>
      </c>
      <c r="R94" s="22">
        <v>6000</v>
      </c>
      <c r="S94" s="24">
        <f t="shared" si="24"/>
        <v>16.871941960519656</v>
      </c>
      <c r="T94" s="22">
        <v>1000</v>
      </c>
      <c r="U94" s="24">
        <f t="shared" si="25"/>
        <v>2.8119903267532758</v>
      </c>
      <c r="V94" s="27">
        <v>102.25</v>
      </c>
      <c r="W94" s="22">
        <f t="shared" si="18"/>
        <v>66623.850770502642</v>
      </c>
      <c r="X94" s="24">
        <f t="shared" si="26"/>
        <v>187.34562389770721</v>
      </c>
      <c r="Y94" s="27">
        <v>107.25</v>
      </c>
      <c r="Z94" s="22">
        <f t="shared" si="13"/>
        <v>69881.740783730158</v>
      </c>
      <c r="AA94" s="24">
        <f t="shared" si="27"/>
        <v>196.50677910052909</v>
      </c>
      <c r="AB94" s="21">
        <v>100</v>
      </c>
      <c r="AC94" s="22">
        <f t="shared" si="14"/>
        <v>65157.800264550264</v>
      </c>
      <c r="AD94" s="24">
        <f t="shared" si="28"/>
        <v>183.22310405643739</v>
      </c>
      <c r="AE94" s="22"/>
      <c r="AF94" s="22"/>
      <c r="AG94" s="22">
        <v>45</v>
      </c>
      <c r="AH94" s="22">
        <v>102</v>
      </c>
      <c r="AI94" s="22">
        <v>128</v>
      </c>
      <c r="AJ94" s="22">
        <v>135</v>
      </c>
      <c r="AK94" s="22">
        <v>115</v>
      </c>
      <c r="AL94" s="22">
        <v>45</v>
      </c>
      <c r="AM94" s="22">
        <v>5</v>
      </c>
      <c r="AN94" s="25">
        <v>90.2</v>
      </c>
      <c r="AO94" s="25">
        <v>54.4</v>
      </c>
      <c r="AP94" s="26">
        <v>96.07</v>
      </c>
      <c r="AQ94" s="25">
        <v>111</v>
      </c>
      <c r="AR94" s="25">
        <v>111.75</v>
      </c>
      <c r="AS94" s="25">
        <v>112.5</v>
      </c>
      <c r="AT94" s="25"/>
    </row>
    <row r="95" spans="2:46">
      <c r="B95" s="11">
        <v>45202</v>
      </c>
      <c r="C95" s="20">
        <v>83.24</v>
      </c>
      <c r="D95" s="21">
        <v>97.35</v>
      </c>
      <c r="E95" s="22">
        <f t="shared" si="17"/>
        <v>63530.337007936498</v>
      </c>
      <c r="F95" s="23">
        <v>87.38</v>
      </c>
      <c r="G95" s="22">
        <f t="shared" si="16"/>
        <v>57023.942966137569</v>
      </c>
      <c r="H95" s="20">
        <v>60500</v>
      </c>
      <c r="I95" s="24">
        <f t="shared" si="19"/>
        <v>170.12541476857319</v>
      </c>
      <c r="J95" s="20"/>
      <c r="K95" s="24">
        <f t="shared" si="20"/>
        <v>0</v>
      </c>
      <c r="L95" s="20">
        <v>61000</v>
      </c>
      <c r="M95" s="24">
        <f t="shared" si="21"/>
        <v>171.53140993194984</v>
      </c>
      <c r="N95" s="20">
        <v>74000</v>
      </c>
      <c r="O95" s="24">
        <f t="shared" si="22"/>
        <v>208.08728417974243</v>
      </c>
      <c r="P95" s="22">
        <v>9000</v>
      </c>
      <c r="Q95" s="24">
        <f t="shared" si="23"/>
        <v>25.307912940779485</v>
      </c>
      <c r="R95" s="22">
        <v>6000</v>
      </c>
      <c r="S95" s="24">
        <f t="shared" si="24"/>
        <v>16.871941960519656</v>
      </c>
      <c r="T95" s="22">
        <v>1000</v>
      </c>
      <c r="U95" s="24">
        <f t="shared" si="25"/>
        <v>2.8119903267532758</v>
      </c>
      <c r="V95" s="27">
        <v>103</v>
      </c>
      <c r="W95" s="22">
        <f t="shared" si="18"/>
        <v>67217.511164021169</v>
      </c>
      <c r="X95" s="24">
        <f t="shared" si="26"/>
        <v>189.01499118165785</v>
      </c>
      <c r="Y95" s="27">
        <v>107.2</v>
      </c>
      <c r="Z95" s="22">
        <f t="shared" si="13"/>
        <v>69958.419386243389</v>
      </c>
      <c r="AA95" s="24">
        <f t="shared" si="27"/>
        <v>196.72239858906525</v>
      </c>
      <c r="AB95" s="21">
        <v>101.75</v>
      </c>
      <c r="AC95" s="22">
        <f t="shared" si="14"/>
        <v>66401.764669312164</v>
      </c>
      <c r="AD95" s="24">
        <f t="shared" si="28"/>
        <v>186.72111992945324</v>
      </c>
      <c r="AE95" s="22"/>
      <c r="AF95" s="22"/>
      <c r="AG95" s="22">
        <v>30</v>
      </c>
      <c r="AH95" s="22">
        <v>103</v>
      </c>
      <c r="AI95" s="22">
        <v>126</v>
      </c>
      <c r="AJ95" s="22">
        <v>150</v>
      </c>
      <c r="AK95" s="22">
        <v>115</v>
      </c>
      <c r="AL95" s="22">
        <v>40</v>
      </c>
      <c r="AM95" s="22">
        <v>5</v>
      </c>
      <c r="AN95" s="25">
        <v>89.1</v>
      </c>
      <c r="AO95" s="25">
        <v>53.2</v>
      </c>
      <c r="AP95" s="26">
        <v>94.71</v>
      </c>
      <c r="AQ95" s="25">
        <v>111</v>
      </c>
      <c r="AR95" s="25">
        <v>111.75</v>
      </c>
      <c r="AS95" s="25">
        <v>112.5</v>
      </c>
      <c r="AT95" s="25"/>
    </row>
    <row r="96" spans="2:46">
      <c r="B96" s="11">
        <v>45208</v>
      </c>
      <c r="C96" s="20">
        <v>83.24</v>
      </c>
      <c r="D96" s="21">
        <v>97.05</v>
      </c>
      <c r="E96" s="22">
        <f t="shared" si="17"/>
        <v>63334.557849206336</v>
      </c>
      <c r="F96" s="23">
        <v>88.31</v>
      </c>
      <c r="G96" s="22">
        <f t="shared" si="16"/>
        <v>57630.858358201061</v>
      </c>
      <c r="H96" s="20">
        <v>59500</v>
      </c>
      <c r="I96" s="24">
        <f t="shared" si="19"/>
        <v>167.3134244418199</v>
      </c>
      <c r="J96" s="20"/>
      <c r="K96" s="24">
        <f t="shared" si="20"/>
        <v>0</v>
      </c>
      <c r="L96" s="20">
        <v>60500</v>
      </c>
      <c r="M96" s="24">
        <f t="shared" si="21"/>
        <v>170.12541476857319</v>
      </c>
      <c r="N96" s="20">
        <v>74000</v>
      </c>
      <c r="O96" s="24">
        <f t="shared" si="22"/>
        <v>208.08728417974243</v>
      </c>
      <c r="P96" s="22">
        <v>9000</v>
      </c>
      <c r="Q96" s="24">
        <f t="shared" si="23"/>
        <v>25.307912940779485</v>
      </c>
      <c r="R96" s="22">
        <v>6000</v>
      </c>
      <c r="S96" s="24">
        <f t="shared" si="24"/>
        <v>16.871941960519656</v>
      </c>
      <c r="T96" s="22">
        <v>1000</v>
      </c>
      <c r="U96" s="24">
        <f t="shared" si="25"/>
        <v>2.8119903267532758</v>
      </c>
      <c r="V96" s="27">
        <v>102.4</v>
      </c>
      <c r="W96" s="22">
        <f t="shared" si="18"/>
        <v>66825.952846560846</v>
      </c>
      <c r="X96" s="24">
        <f t="shared" si="26"/>
        <v>187.91393298059964</v>
      </c>
      <c r="Y96" s="27">
        <v>106.55</v>
      </c>
      <c r="Z96" s="22">
        <f t="shared" si="13"/>
        <v>69534.231208994708</v>
      </c>
      <c r="AA96" s="24">
        <f t="shared" si="27"/>
        <v>195.52958553791888</v>
      </c>
      <c r="AB96" s="21">
        <v>101.25</v>
      </c>
      <c r="AC96" s="22">
        <f t="shared" si="14"/>
        <v>66075.466071428556</v>
      </c>
      <c r="AD96" s="24">
        <f t="shared" si="28"/>
        <v>185.80357142857139</v>
      </c>
      <c r="AE96" s="22"/>
      <c r="AF96" s="22"/>
      <c r="AG96" s="22">
        <v>30</v>
      </c>
      <c r="AH96" s="22">
        <v>101</v>
      </c>
      <c r="AI96" s="22">
        <v>124</v>
      </c>
      <c r="AJ96" s="22">
        <v>145</v>
      </c>
      <c r="AK96" s="22">
        <v>110</v>
      </c>
      <c r="AL96" s="22">
        <v>35</v>
      </c>
      <c r="AM96" s="22">
        <v>7</v>
      </c>
      <c r="AN96" s="25">
        <v>85.1</v>
      </c>
      <c r="AO96" s="25">
        <v>53.2</v>
      </c>
      <c r="AP96" s="26">
        <v>91.27</v>
      </c>
      <c r="AQ96" s="25">
        <v>111</v>
      </c>
      <c r="AR96" s="25">
        <v>111.75</v>
      </c>
      <c r="AS96" s="25">
        <v>112.5</v>
      </c>
      <c r="AT96" s="25"/>
    </row>
    <row r="97" spans="2:46">
      <c r="B97" s="11">
        <v>45215</v>
      </c>
      <c r="C97" s="20">
        <v>83.26</v>
      </c>
      <c r="D97" s="21">
        <v>95.25</v>
      </c>
      <c r="E97" s="22">
        <f t="shared" si="17"/>
        <v>62174.817996031743</v>
      </c>
      <c r="F97" s="23">
        <v>85.41</v>
      </c>
      <c r="G97" s="22">
        <f t="shared" si="16"/>
        <v>55751.718688095243</v>
      </c>
      <c r="H97" s="20">
        <v>59000</v>
      </c>
      <c r="I97" s="24">
        <f t="shared" si="19"/>
        <v>165.90742927844329</v>
      </c>
      <c r="J97" s="20">
        <v>59500</v>
      </c>
      <c r="K97" s="24">
        <f t="shared" si="20"/>
        <v>167.3134244418199</v>
      </c>
      <c r="L97" s="20">
        <f>J97+1500</f>
        <v>61000</v>
      </c>
      <c r="M97" s="24">
        <f t="shared" si="21"/>
        <v>171.53140993194984</v>
      </c>
      <c r="N97" s="20">
        <v>74000</v>
      </c>
      <c r="O97" s="24">
        <f t="shared" si="22"/>
        <v>208.08728417974243</v>
      </c>
      <c r="P97" s="22">
        <v>9000</v>
      </c>
      <c r="Q97" s="24">
        <f t="shared" si="23"/>
        <v>25.307912940779485</v>
      </c>
      <c r="R97" s="22">
        <v>6000</v>
      </c>
      <c r="S97" s="24">
        <f t="shared" si="24"/>
        <v>16.871941960519656</v>
      </c>
      <c r="T97" s="22">
        <v>1000</v>
      </c>
      <c r="U97" s="24">
        <f t="shared" si="25"/>
        <v>2.8119903267532758</v>
      </c>
      <c r="V97" s="27">
        <v>102.4</v>
      </c>
      <c r="W97" s="22">
        <f t="shared" si="18"/>
        <v>66842.009058201074</v>
      </c>
      <c r="X97" s="24">
        <f t="shared" si="26"/>
        <v>187.95908289241626</v>
      </c>
      <c r="Y97" s="27">
        <v>106</v>
      </c>
      <c r="Z97" s="22">
        <f t="shared" ref="Z97:Z160" si="29">C97*$H$4*Y97/0.4536/100</f>
        <v>69191.923439153441</v>
      </c>
      <c r="AA97" s="24">
        <f t="shared" si="27"/>
        <v>194.56701940035273</v>
      </c>
      <c r="AB97" s="21">
        <v>102</v>
      </c>
      <c r="AC97" s="22">
        <f t="shared" ref="AC97:AC160" si="30">C97*$H$4*AB97/0.4536/100</f>
        <v>66580.907460317467</v>
      </c>
      <c r="AD97" s="24">
        <f t="shared" si="28"/>
        <v>187.22486772486775</v>
      </c>
      <c r="AE97" s="22"/>
      <c r="AF97" s="22"/>
      <c r="AG97" s="22">
        <v>30</v>
      </c>
      <c r="AH97" s="22">
        <v>101</v>
      </c>
      <c r="AI97" s="22">
        <v>122</v>
      </c>
      <c r="AJ97" s="22">
        <v>145</v>
      </c>
      <c r="AK97" s="22">
        <v>110</v>
      </c>
      <c r="AL97" s="22">
        <v>30</v>
      </c>
      <c r="AM97" s="22">
        <v>7</v>
      </c>
      <c r="AN97" s="25">
        <v>85.1</v>
      </c>
      <c r="AO97" s="25">
        <v>52.3</v>
      </c>
      <c r="AP97" s="26">
        <v>90.97</v>
      </c>
      <c r="AQ97" s="25">
        <v>109</v>
      </c>
      <c r="AR97" s="25">
        <v>109.75</v>
      </c>
      <c r="AS97" s="25">
        <v>110.5</v>
      </c>
      <c r="AT97" s="25"/>
    </row>
    <row r="98" spans="2:46">
      <c r="B98" s="11">
        <v>45222</v>
      </c>
      <c r="C98" s="20">
        <v>83.12</v>
      </c>
      <c r="D98" s="21">
        <v>93.2</v>
      </c>
      <c r="E98" s="22">
        <f t="shared" si="17"/>
        <v>60734.376677248692</v>
      </c>
      <c r="F98" s="23">
        <v>82.84</v>
      </c>
      <c r="G98" s="22">
        <f t="shared" si="16"/>
        <v>53983.216351322757</v>
      </c>
      <c r="H98" s="20">
        <v>57500</v>
      </c>
      <c r="I98" s="24">
        <f t="shared" si="19"/>
        <v>161.68944378831335</v>
      </c>
      <c r="J98" s="20">
        <v>58500</v>
      </c>
      <c r="K98" s="24">
        <f t="shared" si="20"/>
        <v>164.50143411506664</v>
      </c>
      <c r="L98" s="20">
        <f t="shared" ref="L98:L112" si="31">J98+1500</f>
        <v>60000</v>
      </c>
      <c r="M98" s="24">
        <f t="shared" si="21"/>
        <v>168.71941960519655</v>
      </c>
      <c r="N98" s="20">
        <v>74000</v>
      </c>
      <c r="O98" s="24">
        <f t="shared" si="22"/>
        <v>208.08728417974243</v>
      </c>
      <c r="P98" s="22">
        <v>9000</v>
      </c>
      <c r="Q98" s="24">
        <f t="shared" si="23"/>
        <v>25.307912940779485</v>
      </c>
      <c r="R98" s="22">
        <v>6000</v>
      </c>
      <c r="S98" s="24">
        <f t="shared" si="24"/>
        <v>16.871941960519656</v>
      </c>
      <c r="T98" s="22">
        <v>1000</v>
      </c>
      <c r="U98" s="24">
        <f t="shared" si="25"/>
        <v>2.8119903267532758</v>
      </c>
      <c r="V98" s="27">
        <v>100</v>
      </c>
      <c r="W98" s="22">
        <f t="shared" si="18"/>
        <v>65165.640211640224</v>
      </c>
      <c r="X98" s="24">
        <f t="shared" si="26"/>
        <v>183.24514991181661</v>
      </c>
      <c r="Y98" s="27">
        <v>104</v>
      </c>
      <c r="Z98" s="22">
        <f t="shared" si="29"/>
        <v>67772.265820105837</v>
      </c>
      <c r="AA98" s="24">
        <f t="shared" si="27"/>
        <v>190.5749559082893</v>
      </c>
      <c r="AB98" s="21">
        <v>97</v>
      </c>
      <c r="AC98" s="22">
        <f t="shared" si="30"/>
        <v>63210.67100529102</v>
      </c>
      <c r="AD98" s="24">
        <f t="shared" si="28"/>
        <v>177.74779541446213</v>
      </c>
      <c r="AE98" s="22"/>
      <c r="AF98" s="22"/>
      <c r="AG98" s="22">
        <v>27</v>
      </c>
      <c r="AH98" s="22">
        <v>95</v>
      </c>
      <c r="AI98" s="22">
        <v>116</v>
      </c>
      <c r="AJ98" s="22">
        <v>140</v>
      </c>
      <c r="AK98" s="22">
        <v>105</v>
      </c>
      <c r="AL98" s="22">
        <v>25</v>
      </c>
      <c r="AM98" s="22">
        <v>7</v>
      </c>
      <c r="AN98" s="25">
        <v>85.4</v>
      </c>
      <c r="AO98" s="25">
        <v>52.3</v>
      </c>
      <c r="AP98" s="26">
        <v>91.23</v>
      </c>
      <c r="AQ98" s="25">
        <v>109</v>
      </c>
      <c r="AR98" s="25">
        <v>109.75</v>
      </c>
      <c r="AS98" s="25">
        <v>110.5</v>
      </c>
      <c r="AT98" s="25"/>
    </row>
    <row r="99" spans="2:46">
      <c r="B99" s="11">
        <v>45229</v>
      </c>
      <c r="C99" s="20">
        <v>83.25</v>
      </c>
      <c r="D99" s="21">
        <v>95</v>
      </c>
      <c r="E99" s="22">
        <f t="shared" si="17"/>
        <v>62004.18154761906</v>
      </c>
      <c r="F99" s="23">
        <v>85.07</v>
      </c>
      <c r="G99" s="22">
        <f t="shared" si="16"/>
        <v>55523.112886904761</v>
      </c>
      <c r="H99" s="20">
        <v>58200</v>
      </c>
      <c r="I99" s="24">
        <f t="shared" si="19"/>
        <v>163.65783701704066</v>
      </c>
      <c r="J99" s="20">
        <v>59200</v>
      </c>
      <c r="K99" s="24">
        <f t="shared" si="20"/>
        <v>166.46982734379392</v>
      </c>
      <c r="L99" s="20">
        <f t="shared" si="31"/>
        <v>60700</v>
      </c>
      <c r="M99" s="24">
        <f t="shared" si="21"/>
        <v>170.68781283392386</v>
      </c>
      <c r="N99" s="20">
        <v>74000</v>
      </c>
      <c r="O99" s="24">
        <f t="shared" si="22"/>
        <v>208.08728417974243</v>
      </c>
      <c r="P99" s="22">
        <v>9000</v>
      </c>
      <c r="Q99" s="24">
        <f t="shared" si="23"/>
        <v>25.307912940779485</v>
      </c>
      <c r="R99" s="22">
        <v>6000</v>
      </c>
      <c r="S99" s="24">
        <f t="shared" si="24"/>
        <v>16.871941960519656</v>
      </c>
      <c r="T99" s="22">
        <v>1000</v>
      </c>
      <c r="U99" s="24">
        <f t="shared" si="25"/>
        <v>2.8119903267532758</v>
      </c>
      <c r="V99" s="27">
        <v>100</v>
      </c>
      <c r="W99" s="22">
        <f t="shared" si="18"/>
        <v>65267.559523809527</v>
      </c>
      <c r="X99" s="24">
        <f t="shared" si="26"/>
        <v>183.53174603174602</v>
      </c>
      <c r="Y99" s="27">
        <v>104</v>
      </c>
      <c r="Z99" s="22">
        <f t="shared" si="29"/>
        <v>67878.261904761908</v>
      </c>
      <c r="AA99" s="24">
        <f t="shared" si="27"/>
        <v>190.87301587301587</v>
      </c>
      <c r="AB99" s="21">
        <v>99</v>
      </c>
      <c r="AC99" s="22">
        <f t="shared" si="30"/>
        <v>64614.883928571435</v>
      </c>
      <c r="AD99" s="24">
        <f t="shared" si="28"/>
        <v>181.69642857142858</v>
      </c>
      <c r="AE99" s="22"/>
      <c r="AF99" s="22"/>
      <c r="AG99" s="22">
        <v>25</v>
      </c>
      <c r="AH99" s="22">
        <v>92</v>
      </c>
      <c r="AI99" s="22">
        <v>115</v>
      </c>
      <c r="AJ99" s="22">
        <v>140</v>
      </c>
      <c r="AK99" s="22">
        <v>105</v>
      </c>
      <c r="AL99" s="22">
        <v>25</v>
      </c>
      <c r="AM99" s="22">
        <v>7</v>
      </c>
      <c r="AN99" s="25">
        <v>85.4</v>
      </c>
      <c r="AO99" s="25">
        <v>52.3</v>
      </c>
      <c r="AP99" s="26">
        <v>91.23</v>
      </c>
      <c r="AQ99" s="25">
        <v>109</v>
      </c>
      <c r="AR99" s="25">
        <v>109.75</v>
      </c>
      <c r="AS99" s="25">
        <v>110.5</v>
      </c>
      <c r="AT99" s="25"/>
    </row>
    <row r="100" spans="2:46">
      <c r="B100" s="11">
        <v>45236</v>
      </c>
      <c r="C100" s="20">
        <v>83.22</v>
      </c>
      <c r="D100" s="21">
        <v>91.8</v>
      </c>
      <c r="E100" s="22">
        <f t="shared" si="17"/>
        <v>59894.02842857143</v>
      </c>
      <c r="F100" s="23">
        <v>79.540000000000006</v>
      </c>
      <c r="G100" s="22">
        <f t="shared" si="16"/>
        <v>51895.109163492074</v>
      </c>
      <c r="H100" s="20">
        <v>57500</v>
      </c>
      <c r="I100" s="24">
        <f t="shared" si="19"/>
        <v>161.68944378831335</v>
      </c>
      <c r="J100" s="20">
        <v>58000</v>
      </c>
      <c r="K100" s="24">
        <f t="shared" si="20"/>
        <v>163.09543895169</v>
      </c>
      <c r="L100" s="20">
        <f t="shared" si="31"/>
        <v>59500</v>
      </c>
      <c r="M100" s="24">
        <f t="shared" si="21"/>
        <v>167.3134244418199</v>
      </c>
      <c r="N100" s="20">
        <v>74000</v>
      </c>
      <c r="O100" s="24">
        <f t="shared" si="22"/>
        <v>208.08728417974243</v>
      </c>
      <c r="P100" s="22">
        <v>9000</v>
      </c>
      <c r="Q100" s="24">
        <f t="shared" si="23"/>
        <v>25.307912940779485</v>
      </c>
      <c r="R100" s="22">
        <v>6000</v>
      </c>
      <c r="S100" s="24">
        <f t="shared" si="24"/>
        <v>16.871941960519656</v>
      </c>
      <c r="T100" s="22">
        <v>1000</v>
      </c>
      <c r="U100" s="24">
        <f t="shared" si="25"/>
        <v>2.8119903267532758</v>
      </c>
      <c r="V100" s="23" t="s">
        <v>49</v>
      </c>
      <c r="W100" s="22" t="s">
        <v>49</v>
      </c>
      <c r="X100" s="24" t="e">
        <f t="shared" si="26"/>
        <v>#VALUE!</v>
      </c>
      <c r="Y100" s="27">
        <v>100</v>
      </c>
      <c r="Z100" s="22">
        <f t="shared" si="29"/>
        <v>65244.039682539682</v>
      </c>
      <c r="AA100" s="24">
        <f t="shared" si="27"/>
        <v>183.46560846560845</v>
      </c>
      <c r="AB100" s="21">
        <v>96</v>
      </c>
      <c r="AC100" s="22">
        <f t="shared" si="30"/>
        <v>62634.2780952381</v>
      </c>
      <c r="AD100" s="24">
        <f t="shared" si="28"/>
        <v>176.12698412698413</v>
      </c>
      <c r="AE100" s="22"/>
      <c r="AF100" s="22"/>
      <c r="AG100" s="22">
        <v>25</v>
      </c>
      <c r="AH100" s="22">
        <v>92</v>
      </c>
      <c r="AI100" s="22">
        <v>115</v>
      </c>
      <c r="AJ100" s="22">
        <v>130</v>
      </c>
      <c r="AK100" s="22">
        <v>105</v>
      </c>
      <c r="AL100" s="22">
        <v>25</v>
      </c>
      <c r="AM100" s="22">
        <v>7</v>
      </c>
      <c r="AN100" s="25">
        <v>85.7</v>
      </c>
      <c r="AO100" s="25">
        <v>50.6</v>
      </c>
      <c r="AP100" s="26">
        <v>90.91</v>
      </c>
      <c r="AQ100" s="25">
        <v>109</v>
      </c>
      <c r="AR100" s="25">
        <v>109.75</v>
      </c>
      <c r="AS100" s="25">
        <v>110.5</v>
      </c>
      <c r="AT100" s="25"/>
    </row>
    <row r="101" spans="2:46">
      <c r="B101" s="11">
        <v>45244</v>
      </c>
      <c r="C101" s="20">
        <v>83.23</v>
      </c>
      <c r="D101" s="21">
        <v>90.9</v>
      </c>
      <c r="E101" s="22">
        <f t="shared" si="17"/>
        <v>59313.95858333334</v>
      </c>
      <c r="F101" s="23">
        <v>80.5</v>
      </c>
      <c r="G101" s="22">
        <f t="shared" si="16"/>
        <v>52527.763101851859</v>
      </c>
      <c r="H101" s="20">
        <v>57000</v>
      </c>
      <c r="I101" s="24">
        <f t="shared" si="19"/>
        <v>160.28344862493674</v>
      </c>
      <c r="J101" s="20">
        <v>57500</v>
      </c>
      <c r="K101" s="24">
        <f t="shared" si="20"/>
        <v>161.68944378831335</v>
      </c>
      <c r="L101" s="20">
        <f t="shared" si="31"/>
        <v>59000</v>
      </c>
      <c r="M101" s="24">
        <f t="shared" si="21"/>
        <v>165.90742927844329</v>
      </c>
      <c r="N101" s="20">
        <v>74000</v>
      </c>
      <c r="O101" s="24">
        <f t="shared" si="22"/>
        <v>208.08728417974243</v>
      </c>
      <c r="P101" s="22">
        <v>9000</v>
      </c>
      <c r="Q101" s="24">
        <f t="shared" si="23"/>
        <v>25.307912940779485</v>
      </c>
      <c r="R101" s="22">
        <v>6000</v>
      </c>
      <c r="S101" s="24">
        <f t="shared" si="24"/>
        <v>16.871941960519656</v>
      </c>
      <c r="T101" s="22">
        <v>800</v>
      </c>
      <c r="U101" s="24">
        <f t="shared" si="25"/>
        <v>2.2495922614026207</v>
      </c>
      <c r="V101" s="23">
        <v>98</v>
      </c>
      <c r="W101" s="22">
        <f t="shared" ref="W101:W164" si="32">C101*$H$4*V101/0.4536/100</f>
        <v>63946.842037037044</v>
      </c>
      <c r="X101" s="24">
        <f t="shared" si="26"/>
        <v>179.81790123456793</v>
      </c>
      <c r="Y101" s="27">
        <v>100</v>
      </c>
      <c r="Z101" s="22">
        <f t="shared" si="29"/>
        <v>65251.879629629635</v>
      </c>
      <c r="AA101" s="24">
        <f t="shared" si="27"/>
        <v>183.48765432098767</v>
      </c>
      <c r="AB101" s="21">
        <v>95</v>
      </c>
      <c r="AC101" s="22">
        <f t="shared" si="30"/>
        <v>61989.28564814815</v>
      </c>
      <c r="AD101" s="24">
        <f t="shared" si="28"/>
        <v>174.31327160493828</v>
      </c>
      <c r="AE101" s="22"/>
      <c r="AF101" s="22"/>
      <c r="AG101" s="22">
        <v>26</v>
      </c>
      <c r="AH101" s="22">
        <v>91</v>
      </c>
      <c r="AI101" s="22">
        <v>114</v>
      </c>
      <c r="AJ101" s="22">
        <v>151</v>
      </c>
      <c r="AK101" s="22">
        <v>105</v>
      </c>
      <c r="AL101" s="22">
        <v>30</v>
      </c>
      <c r="AM101" s="22">
        <v>7</v>
      </c>
      <c r="AN101" s="25">
        <v>84.7</v>
      </c>
      <c r="AO101" s="25">
        <v>50.6</v>
      </c>
      <c r="AP101" s="26">
        <v>90.05</v>
      </c>
      <c r="AQ101" s="25">
        <v>109</v>
      </c>
      <c r="AR101" s="25">
        <v>109.75</v>
      </c>
      <c r="AS101" s="25">
        <v>110.5</v>
      </c>
      <c r="AT101" s="25"/>
    </row>
    <row r="102" spans="2:46">
      <c r="B102" s="11">
        <v>45250</v>
      </c>
      <c r="C102" s="20">
        <v>80.290000000000006</v>
      </c>
      <c r="D102" s="21">
        <v>90.9</v>
      </c>
      <c r="E102" s="22">
        <f t="shared" si="17"/>
        <v>57218.764083333343</v>
      </c>
      <c r="F102" s="23">
        <v>81.45</v>
      </c>
      <c r="G102" s="22">
        <f t="shared" si="16"/>
        <v>51270.278708333346</v>
      </c>
      <c r="H102" s="20">
        <v>57000</v>
      </c>
      <c r="I102" s="24">
        <f t="shared" si="19"/>
        <v>160.28344862493674</v>
      </c>
      <c r="J102" s="20">
        <v>57500</v>
      </c>
      <c r="K102" s="24">
        <f t="shared" si="20"/>
        <v>161.68944378831335</v>
      </c>
      <c r="L102" s="20">
        <f t="shared" si="31"/>
        <v>59000</v>
      </c>
      <c r="M102" s="24">
        <f t="shared" si="21"/>
        <v>165.90742927844329</v>
      </c>
      <c r="N102" s="20">
        <v>74000</v>
      </c>
      <c r="O102" s="24">
        <f t="shared" si="22"/>
        <v>208.08728417974243</v>
      </c>
      <c r="P102" s="22">
        <v>9000</v>
      </c>
      <c r="Q102" s="24">
        <f t="shared" si="23"/>
        <v>25.307912940779485</v>
      </c>
      <c r="R102" s="22">
        <v>6000</v>
      </c>
      <c r="S102" s="24">
        <f t="shared" si="24"/>
        <v>16.871941960519656</v>
      </c>
      <c r="T102" s="22">
        <v>800</v>
      </c>
      <c r="U102" s="24">
        <f t="shared" si="25"/>
        <v>2.2495922614026207</v>
      </c>
      <c r="V102" s="23">
        <v>97</v>
      </c>
      <c r="W102" s="22">
        <f t="shared" si="32"/>
        <v>61058.527129629627</v>
      </c>
      <c r="X102" s="24">
        <f t="shared" si="26"/>
        <v>171.69598765432099</v>
      </c>
      <c r="Y102" s="27">
        <v>99</v>
      </c>
      <c r="Z102" s="22">
        <f t="shared" si="29"/>
        <v>62317.465833333343</v>
      </c>
      <c r="AA102" s="24">
        <f t="shared" si="27"/>
        <v>175.23611111111114</v>
      </c>
      <c r="AB102" s="21">
        <v>94.5</v>
      </c>
      <c r="AC102" s="22">
        <f t="shared" si="30"/>
        <v>59484.853750000009</v>
      </c>
      <c r="AD102" s="24">
        <f t="shared" si="28"/>
        <v>167.27083333333337</v>
      </c>
      <c r="AE102" s="22"/>
      <c r="AF102" s="22"/>
      <c r="AG102" s="22">
        <v>26</v>
      </c>
      <c r="AH102" s="22">
        <v>91</v>
      </c>
      <c r="AI102" s="22">
        <v>114</v>
      </c>
      <c r="AJ102" s="22">
        <v>151</v>
      </c>
      <c r="AK102" s="22">
        <v>105</v>
      </c>
      <c r="AL102" s="22">
        <v>30</v>
      </c>
      <c r="AM102" s="22">
        <v>7</v>
      </c>
      <c r="AN102" s="25">
        <v>84.7</v>
      </c>
      <c r="AO102" s="25">
        <v>50.6</v>
      </c>
      <c r="AP102" s="26">
        <v>90.05</v>
      </c>
      <c r="AQ102" s="25">
        <v>105</v>
      </c>
      <c r="AR102" s="25">
        <v>105.75</v>
      </c>
      <c r="AS102" s="25">
        <v>106.5</v>
      </c>
      <c r="AT102" s="25"/>
    </row>
    <row r="103" spans="2:46">
      <c r="B103" s="11">
        <v>45257</v>
      </c>
      <c r="C103" s="20">
        <v>83.38</v>
      </c>
      <c r="D103" s="21">
        <v>90.9</v>
      </c>
      <c r="E103" s="22">
        <f t="shared" si="17"/>
        <v>59420.856261904773</v>
      </c>
      <c r="F103" s="23">
        <v>79.94</v>
      </c>
      <c r="G103" s="22">
        <f t="shared" si="16"/>
        <v>52256.361381481474</v>
      </c>
      <c r="H103" s="20">
        <v>56000</v>
      </c>
      <c r="I103" s="24">
        <f t="shared" si="19"/>
        <v>157.47145829818345</v>
      </c>
      <c r="J103" s="20">
        <v>56500</v>
      </c>
      <c r="K103" s="24">
        <f t="shared" si="20"/>
        <v>158.87745346156009</v>
      </c>
      <c r="L103" s="20">
        <f t="shared" si="31"/>
        <v>58000</v>
      </c>
      <c r="M103" s="24">
        <f t="shared" si="21"/>
        <v>163.09543895169</v>
      </c>
      <c r="N103" s="20">
        <v>74000</v>
      </c>
      <c r="O103" s="24">
        <f t="shared" si="22"/>
        <v>208.08728417974243</v>
      </c>
      <c r="P103" s="22">
        <v>8500</v>
      </c>
      <c r="Q103" s="24">
        <f t="shared" si="23"/>
        <v>23.901917777402847</v>
      </c>
      <c r="R103" s="22">
        <v>6000</v>
      </c>
      <c r="S103" s="24">
        <f t="shared" si="24"/>
        <v>16.871941960519656</v>
      </c>
      <c r="T103" s="22">
        <v>800</v>
      </c>
      <c r="U103" s="24">
        <f t="shared" si="25"/>
        <v>2.2495922614026207</v>
      </c>
      <c r="V103" s="23">
        <v>97</v>
      </c>
      <c r="W103" s="22">
        <f t="shared" si="32"/>
        <v>63408.394470899475</v>
      </c>
      <c r="X103" s="24">
        <f t="shared" si="26"/>
        <v>178.30379188712524</v>
      </c>
      <c r="Y103" s="27">
        <v>98</v>
      </c>
      <c r="Z103" s="22">
        <f t="shared" si="29"/>
        <v>64062.089259259265</v>
      </c>
      <c r="AA103" s="24">
        <f t="shared" si="27"/>
        <v>180.14197530864197</v>
      </c>
      <c r="AB103" s="21">
        <v>93.5</v>
      </c>
      <c r="AC103" s="22">
        <f t="shared" si="30"/>
        <v>61120.462711640212</v>
      </c>
      <c r="AD103" s="24">
        <f t="shared" si="28"/>
        <v>171.87014991181658</v>
      </c>
      <c r="AE103" s="22"/>
      <c r="AF103" s="22"/>
      <c r="AG103" s="22">
        <v>25</v>
      </c>
      <c r="AH103" s="22">
        <v>90</v>
      </c>
      <c r="AI103" s="22">
        <v>114</v>
      </c>
      <c r="AJ103" s="22">
        <v>150</v>
      </c>
      <c r="AK103" s="22">
        <v>105</v>
      </c>
      <c r="AL103" s="22">
        <v>30</v>
      </c>
      <c r="AM103" s="22">
        <v>7</v>
      </c>
      <c r="AN103" s="25">
        <v>84.7</v>
      </c>
      <c r="AO103" s="25">
        <v>50.6</v>
      </c>
      <c r="AP103" s="26">
        <v>90.05</v>
      </c>
      <c r="AQ103" s="25">
        <v>105</v>
      </c>
      <c r="AR103" s="25">
        <v>105.75</v>
      </c>
      <c r="AS103" s="25">
        <v>106.5</v>
      </c>
      <c r="AT103" s="25"/>
    </row>
    <row r="104" spans="2:46">
      <c r="B104" s="11">
        <v>45264</v>
      </c>
      <c r="C104" s="20">
        <v>83.38</v>
      </c>
      <c r="D104" s="21">
        <v>89.8</v>
      </c>
      <c r="E104" s="22">
        <f t="shared" si="17"/>
        <v>58701.791994708998</v>
      </c>
      <c r="F104" s="23">
        <v>78.92</v>
      </c>
      <c r="G104" s="22">
        <f t="shared" si="16"/>
        <v>51589.592697354499</v>
      </c>
      <c r="H104" s="20">
        <v>55500</v>
      </c>
      <c r="I104" s="24">
        <f t="shared" si="19"/>
        <v>156.06546313480681</v>
      </c>
      <c r="J104" s="20">
        <v>56000</v>
      </c>
      <c r="K104" s="24">
        <f t="shared" si="20"/>
        <v>157.47145829818345</v>
      </c>
      <c r="L104" s="20">
        <f t="shared" si="31"/>
        <v>57500</v>
      </c>
      <c r="M104" s="24">
        <f t="shared" si="21"/>
        <v>161.68944378831335</v>
      </c>
      <c r="N104" s="20">
        <v>74000</v>
      </c>
      <c r="O104" s="24">
        <f t="shared" si="22"/>
        <v>208.08728417974243</v>
      </c>
      <c r="P104" s="22">
        <v>8500</v>
      </c>
      <c r="Q104" s="24">
        <f t="shared" si="23"/>
        <v>23.901917777402847</v>
      </c>
      <c r="R104" s="22">
        <v>6000</v>
      </c>
      <c r="S104" s="24">
        <f t="shared" si="24"/>
        <v>16.871941960519656</v>
      </c>
      <c r="T104" s="22">
        <v>800</v>
      </c>
      <c r="U104" s="24">
        <f t="shared" si="25"/>
        <v>2.2495922614026207</v>
      </c>
      <c r="V104" s="23">
        <v>97</v>
      </c>
      <c r="W104" s="22">
        <f t="shared" si="32"/>
        <v>63408.394470899475</v>
      </c>
      <c r="X104" s="24">
        <f t="shared" si="26"/>
        <v>178.30379188712524</v>
      </c>
      <c r="Y104" s="27">
        <v>98</v>
      </c>
      <c r="Z104" s="22">
        <f t="shared" si="29"/>
        <v>64062.089259259265</v>
      </c>
      <c r="AA104" s="24">
        <f t="shared" si="27"/>
        <v>180.14197530864197</v>
      </c>
      <c r="AB104" s="21">
        <v>93</v>
      </c>
      <c r="AC104" s="22">
        <f t="shared" si="30"/>
        <v>60793.615317460317</v>
      </c>
      <c r="AD104" s="24">
        <f t="shared" si="28"/>
        <v>170.9510582010582</v>
      </c>
      <c r="AE104" s="22"/>
      <c r="AF104" s="22"/>
      <c r="AG104" s="22">
        <v>25</v>
      </c>
      <c r="AH104" s="22">
        <v>90</v>
      </c>
      <c r="AI104" s="22">
        <v>114</v>
      </c>
      <c r="AJ104" s="22">
        <v>150</v>
      </c>
      <c r="AK104" s="22">
        <v>105</v>
      </c>
      <c r="AL104" s="22">
        <v>30</v>
      </c>
      <c r="AM104" s="22">
        <v>7</v>
      </c>
      <c r="AN104" s="25">
        <v>84.7</v>
      </c>
      <c r="AO104" s="25">
        <v>50.6</v>
      </c>
      <c r="AP104" s="26">
        <v>90.05</v>
      </c>
      <c r="AQ104" s="25">
        <v>105</v>
      </c>
      <c r="AR104" s="25">
        <v>105.75</v>
      </c>
      <c r="AS104" s="25">
        <v>106.5</v>
      </c>
      <c r="AT104" s="25"/>
    </row>
    <row r="105" spans="2:46">
      <c r="B105" s="11">
        <v>45271</v>
      </c>
      <c r="C105" s="20">
        <v>83.38</v>
      </c>
      <c r="D105" s="21">
        <v>91.6</v>
      </c>
      <c r="E105" s="22">
        <f t="shared" si="17"/>
        <v>59878.442613756612</v>
      </c>
      <c r="F105" s="23">
        <v>81.3</v>
      </c>
      <c r="G105" s="22">
        <f t="shared" si="16"/>
        <v>53145.386293650794</v>
      </c>
      <c r="H105" s="20">
        <v>55300</v>
      </c>
      <c r="I105" s="24">
        <f t="shared" si="19"/>
        <v>155.50306506945617</v>
      </c>
      <c r="J105" s="20">
        <v>55800</v>
      </c>
      <c r="K105" s="24">
        <f t="shared" si="20"/>
        <v>156.90906023283279</v>
      </c>
      <c r="L105" s="20">
        <f t="shared" si="31"/>
        <v>57300</v>
      </c>
      <c r="M105" s="24">
        <f t="shared" si="21"/>
        <v>161.12704572296272</v>
      </c>
      <c r="N105" s="20">
        <v>75000</v>
      </c>
      <c r="O105" s="24">
        <f t="shared" si="22"/>
        <v>210.89927450649569</v>
      </c>
      <c r="P105" s="22">
        <v>8500</v>
      </c>
      <c r="Q105" s="24">
        <f t="shared" si="23"/>
        <v>23.901917777402847</v>
      </c>
      <c r="R105" s="22">
        <v>6000</v>
      </c>
      <c r="S105" s="24">
        <f t="shared" si="24"/>
        <v>16.871941960519656</v>
      </c>
      <c r="T105" s="22">
        <v>800</v>
      </c>
      <c r="U105" s="24">
        <f t="shared" si="25"/>
        <v>2.2495922614026207</v>
      </c>
      <c r="V105" s="23">
        <v>103.5</v>
      </c>
      <c r="W105" s="22">
        <f t="shared" si="32"/>
        <v>67657.410595238092</v>
      </c>
      <c r="X105" s="24">
        <f t="shared" si="26"/>
        <v>190.25198412698413</v>
      </c>
      <c r="Y105" s="27">
        <v>98.75</v>
      </c>
      <c r="Z105" s="22">
        <f t="shared" si="29"/>
        <v>64552.360350529103</v>
      </c>
      <c r="AA105" s="24">
        <f t="shared" si="27"/>
        <v>181.52061287477954</v>
      </c>
      <c r="AB105" s="21">
        <v>95.5</v>
      </c>
      <c r="AC105" s="22">
        <f t="shared" si="30"/>
        <v>62427.852288359798</v>
      </c>
      <c r="AD105" s="24">
        <f t="shared" si="28"/>
        <v>175.5465167548501</v>
      </c>
      <c r="AE105" s="22"/>
      <c r="AF105" s="22"/>
      <c r="AG105" s="22">
        <v>30</v>
      </c>
      <c r="AH105" s="22">
        <v>95</v>
      </c>
      <c r="AI105" s="22">
        <v>111</v>
      </c>
      <c r="AJ105" s="22">
        <v>140</v>
      </c>
      <c r="AK105" s="22">
        <v>105</v>
      </c>
      <c r="AL105" s="22">
        <v>29</v>
      </c>
      <c r="AM105" s="22">
        <v>7</v>
      </c>
      <c r="AN105" s="25">
        <v>82.2</v>
      </c>
      <c r="AO105" s="25">
        <v>50.6</v>
      </c>
      <c r="AP105" s="26">
        <v>87.9</v>
      </c>
      <c r="AQ105" s="25">
        <v>105</v>
      </c>
      <c r="AR105" s="25">
        <v>105.75</v>
      </c>
      <c r="AS105" s="25">
        <v>106.5</v>
      </c>
      <c r="AT105" s="25"/>
    </row>
    <row r="106" spans="2:46">
      <c r="B106" s="11">
        <v>45285</v>
      </c>
      <c r="C106" s="20">
        <v>83.17</v>
      </c>
      <c r="D106" s="21">
        <v>89.4</v>
      </c>
      <c r="E106" s="22">
        <f t="shared" si="17"/>
        <v>58293.126912698419</v>
      </c>
      <c r="F106" s="23">
        <v>79.88</v>
      </c>
      <c r="G106" s="22">
        <f t="shared" si="16"/>
        <v>52085.62614973545</v>
      </c>
      <c r="H106" s="20">
        <v>55000</v>
      </c>
      <c r="I106" s="24">
        <f t="shared" si="19"/>
        <v>154.65946797143019</v>
      </c>
      <c r="J106" s="20">
        <v>55500</v>
      </c>
      <c r="K106" s="24">
        <f t="shared" si="20"/>
        <v>156.06546313480681</v>
      </c>
      <c r="L106" s="20">
        <f t="shared" si="31"/>
        <v>57000</v>
      </c>
      <c r="M106" s="24">
        <f t="shared" si="21"/>
        <v>160.28344862493674</v>
      </c>
      <c r="N106" s="20">
        <v>75000</v>
      </c>
      <c r="O106" s="24">
        <f t="shared" si="22"/>
        <v>210.89927450649569</v>
      </c>
      <c r="P106" s="22">
        <v>8000</v>
      </c>
      <c r="Q106" s="24">
        <f t="shared" si="23"/>
        <v>22.495922614026206</v>
      </c>
      <c r="R106" s="22">
        <v>6000</v>
      </c>
      <c r="S106" s="24">
        <f t="shared" si="24"/>
        <v>16.871941960519656</v>
      </c>
      <c r="T106" s="22">
        <v>800</v>
      </c>
      <c r="U106" s="24">
        <f t="shared" si="25"/>
        <v>2.2495922614026207</v>
      </c>
      <c r="V106" s="23">
        <v>101</v>
      </c>
      <c r="W106" s="22">
        <f t="shared" si="32"/>
        <v>65856.888346560852</v>
      </c>
      <c r="X106" s="24">
        <f t="shared" si="26"/>
        <v>185.18893298059967</v>
      </c>
      <c r="Y106" s="27">
        <v>95.5</v>
      </c>
      <c r="Z106" s="22">
        <f t="shared" si="29"/>
        <v>62270.622149470903</v>
      </c>
      <c r="AA106" s="24">
        <f t="shared" si="27"/>
        <v>175.10438712522046</v>
      </c>
      <c r="AB106" s="21">
        <v>92.5</v>
      </c>
      <c r="AC106" s="22">
        <f t="shared" si="30"/>
        <v>60314.476951058212</v>
      </c>
      <c r="AD106" s="24">
        <f t="shared" si="28"/>
        <v>169.60372574955912</v>
      </c>
      <c r="AE106" s="22"/>
      <c r="AF106" s="22"/>
      <c r="AG106" s="22">
        <v>30</v>
      </c>
      <c r="AH106" s="22">
        <v>95</v>
      </c>
      <c r="AI106" s="22">
        <v>111</v>
      </c>
      <c r="AJ106" s="22">
        <v>140</v>
      </c>
      <c r="AK106" s="22">
        <v>105</v>
      </c>
      <c r="AL106" s="22">
        <v>29</v>
      </c>
      <c r="AM106" s="22">
        <v>7</v>
      </c>
      <c r="AN106" s="25">
        <v>84</v>
      </c>
      <c r="AO106" s="25">
        <v>50.6</v>
      </c>
      <c r="AP106" s="26">
        <v>89.44</v>
      </c>
      <c r="AQ106" s="25">
        <v>103</v>
      </c>
      <c r="AR106" s="25">
        <v>103.75</v>
      </c>
      <c r="AS106" s="25">
        <v>104.5</v>
      </c>
      <c r="AT106" s="25"/>
    </row>
    <row r="107" spans="2:46">
      <c r="B107" s="11">
        <v>44929</v>
      </c>
      <c r="C107" s="20">
        <v>83.28</v>
      </c>
      <c r="D107" s="21">
        <v>91.4</v>
      </c>
      <c r="E107" s="22">
        <f t="shared" si="17"/>
        <v>59676.046539682538</v>
      </c>
      <c r="F107" s="23">
        <v>80.55</v>
      </c>
      <c r="G107" s="22">
        <f t="shared" si="16"/>
        <v>52591.964428571424</v>
      </c>
      <c r="H107" s="20">
        <v>55000</v>
      </c>
      <c r="I107" s="24">
        <f t="shared" si="19"/>
        <v>154.65946797143019</v>
      </c>
      <c r="J107" s="20">
        <v>55500</v>
      </c>
      <c r="K107" s="24">
        <f t="shared" si="20"/>
        <v>156.06546313480681</v>
      </c>
      <c r="L107" s="20">
        <f t="shared" si="31"/>
        <v>57000</v>
      </c>
      <c r="M107" s="24">
        <f t="shared" si="21"/>
        <v>160.28344862493674</v>
      </c>
      <c r="N107" s="20">
        <v>75000</v>
      </c>
      <c r="O107" s="24">
        <f t="shared" si="22"/>
        <v>210.89927450649569</v>
      </c>
      <c r="P107" s="22">
        <v>7500</v>
      </c>
      <c r="Q107" s="24">
        <f t="shared" si="23"/>
        <v>21.089927450649569</v>
      </c>
      <c r="R107" s="22">
        <v>6000</v>
      </c>
      <c r="S107" s="24">
        <f t="shared" si="24"/>
        <v>16.871941960519656</v>
      </c>
      <c r="T107" s="22">
        <v>800</v>
      </c>
      <c r="U107" s="24">
        <f t="shared" si="25"/>
        <v>2.2495922614026207</v>
      </c>
      <c r="V107" s="23">
        <v>97.5</v>
      </c>
      <c r="W107" s="22">
        <f t="shared" si="32"/>
        <v>63658.80238095238</v>
      </c>
      <c r="X107" s="24">
        <f t="shared" si="26"/>
        <v>179.00793650793651</v>
      </c>
      <c r="Y107" s="27">
        <v>98.25</v>
      </c>
      <c r="Z107" s="22">
        <f t="shared" si="29"/>
        <v>64148.485476190479</v>
      </c>
      <c r="AA107" s="24">
        <f t="shared" si="27"/>
        <v>180.38492063492063</v>
      </c>
      <c r="AB107" s="21">
        <v>94.5</v>
      </c>
      <c r="AC107" s="22">
        <f t="shared" si="30"/>
        <v>61700.070000000007</v>
      </c>
      <c r="AD107" s="24">
        <f t="shared" si="28"/>
        <v>173.50000000000003</v>
      </c>
      <c r="AE107" s="22"/>
      <c r="AF107" s="22"/>
      <c r="AG107" s="22">
        <v>30</v>
      </c>
      <c r="AH107" s="22">
        <v>95</v>
      </c>
      <c r="AI107" s="22">
        <v>111</v>
      </c>
      <c r="AJ107" s="22">
        <v>140</v>
      </c>
      <c r="AK107" s="22">
        <v>105</v>
      </c>
      <c r="AL107" s="22">
        <v>29</v>
      </c>
      <c r="AM107" s="22">
        <v>7</v>
      </c>
      <c r="AN107" s="25">
        <v>85</v>
      </c>
      <c r="AO107" s="25">
        <v>50.6</v>
      </c>
      <c r="AP107" s="26">
        <v>90.3</v>
      </c>
      <c r="AQ107" s="25">
        <v>104.5</v>
      </c>
      <c r="AR107" s="25">
        <v>105.25</v>
      </c>
      <c r="AS107" s="25">
        <v>106</v>
      </c>
      <c r="AT107" s="25"/>
    </row>
    <row r="108" spans="2:46">
      <c r="B108" s="11">
        <v>44935</v>
      </c>
      <c r="C108" s="20">
        <v>83.1</v>
      </c>
      <c r="D108" s="21">
        <v>90.4</v>
      </c>
      <c r="E108" s="22">
        <f t="shared" si="17"/>
        <v>58895.564126984122</v>
      </c>
      <c r="F108" s="23">
        <v>80.849999999999994</v>
      </c>
      <c r="G108" s="22">
        <f t="shared" si="16"/>
        <v>52673.742916666648</v>
      </c>
      <c r="H108" s="20">
        <v>55000</v>
      </c>
      <c r="I108" s="24">
        <f t="shared" si="19"/>
        <v>154.65946797143019</v>
      </c>
      <c r="J108" s="20">
        <v>55500</v>
      </c>
      <c r="K108" s="24">
        <f t="shared" si="20"/>
        <v>156.06546313480681</v>
      </c>
      <c r="L108" s="20">
        <f t="shared" si="31"/>
        <v>57000</v>
      </c>
      <c r="M108" s="24">
        <f t="shared" si="21"/>
        <v>160.28344862493674</v>
      </c>
      <c r="N108" s="20">
        <v>80000</v>
      </c>
      <c r="O108" s="24">
        <f t="shared" si="22"/>
        <v>224.95922614026207</v>
      </c>
      <c r="P108" s="22">
        <v>7600</v>
      </c>
      <c r="Q108" s="24">
        <f t="shared" si="23"/>
        <v>21.371126483324897</v>
      </c>
      <c r="R108" s="22">
        <v>6000</v>
      </c>
      <c r="S108" s="24">
        <f t="shared" si="24"/>
        <v>16.871941960519656</v>
      </c>
      <c r="T108" s="22">
        <v>700</v>
      </c>
      <c r="U108" s="24">
        <f t="shared" si="25"/>
        <v>1.9683932287272932</v>
      </c>
      <c r="V108" s="23">
        <v>99</v>
      </c>
      <c r="W108" s="22">
        <f t="shared" si="32"/>
        <v>64498.460714285706</v>
      </c>
      <c r="X108" s="24">
        <f t="shared" si="26"/>
        <v>181.36904761904759</v>
      </c>
      <c r="Y108" s="27">
        <v>98.25</v>
      </c>
      <c r="Z108" s="22">
        <f t="shared" si="29"/>
        <v>64009.836011904757</v>
      </c>
      <c r="AA108" s="24">
        <f t="shared" si="27"/>
        <v>179.99503968253967</v>
      </c>
      <c r="AB108" s="21">
        <v>97.25</v>
      </c>
      <c r="AC108" s="22">
        <f t="shared" si="30"/>
        <v>63358.336408730152</v>
      </c>
      <c r="AD108" s="24">
        <f t="shared" si="28"/>
        <v>178.16302910052909</v>
      </c>
      <c r="AE108" s="22"/>
      <c r="AF108" s="22"/>
      <c r="AG108" s="22">
        <v>30</v>
      </c>
      <c r="AH108" s="22">
        <v>100</v>
      </c>
      <c r="AI108" s="22">
        <v>111</v>
      </c>
      <c r="AJ108" s="22">
        <v>140</v>
      </c>
      <c r="AK108" s="22">
        <v>109</v>
      </c>
      <c r="AL108" s="22">
        <v>30</v>
      </c>
      <c r="AM108" s="22">
        <v>7</v>
      </c>
      <c r="AN108" s="25">
        <v>85</v>
      </c>
      <c r="AO108" s="25">
        <v>53</v>
      </c>
      <c r="AP108" s="26">
        <v>91.32</v>
      </c>
      <c r="AQ108" s="25">
        <v>106</v>
      </c>
      <c r="AR108" s="25">
        <v>106.75</v>
      </c>
      <c r="AS108" s="25">
        <v>107.5</v>
      </c>
      <c r="AT108" s="25"/>
    </row>
    <row r="109" spans="2:46">
      <c r="B109" s="11">
        <v>45306</v>
      </c>
      <c r="C109" s="20">
        <v>82.97</v>
      </c>
      <c r="D109" s="21">
        <v>91.65</v>
      </c>
      <c r="E109" s="22">
        <f t="shared" si="17"/>
        <v>59616.529581349205</v>
      </c>
      <c r="F109" s="23">
        <v>81.239999999999995</v>
      </c>
      <c r="G109" s="22">
        <f t="shared" si="16"/>
        <v>52845.028512698402</v>
      </c>
      <c r="H109" s="20">
        <v>55000</v>
      </c>
      <c r="I109" s="24">
        <f t="shared" si="19"/>
        <v>154.65946797143019</v>
      </c>
      <c r="J109" s="20">
        <v>55200</v>
      </c>
      <c r="K109" s="24">
        <f t="shared" si="20"/>
        <v>155.22186603678082</v>
      </c>
      <c r="L109" s="20">
        <f t="shared" si="31"/>
        <v>56700</v>
      </c>
      <c r="M109" s="24">
        <f t="shared" si="21"/>
        <v>159.43985152691076</v>
      </c>
      <c r="N109" s="20">
        <v>80000</v>
      </c>
      <c r="O109" s="24">
        <f t="shared" si="22"/>
        <v>224.95922614026207</v>
      </c>
      <c r="P109" s="22">
        <v>6500</v>
      </c>
      <c r="Q109" s="24">
        <f t="shared" si="23"/>
        <v>18.277937123896294</v>
      </c>
      <c r="R109" s="22">
        <v>6000</v>
      </c>
      <c r="S109" s="24">
        <f t="shared" si="24"/>
        <v>16.871941960519656</v>
      </c>
      <c r="T109" s="22">
        <v>600</v>
      </c>
      <c r="U109" s="24">
        <f t="shared" si="25"/>
        <v>1.6871941960519656</v>
      </c>
      <c r="V109" s="23">
        <v>100</v>
      </c>
      <c r="W109" s="22">
        <f t="shared" si="32"/>
        <v>65048.041005291001</v>
      </c>
      <c r="X109" s="24">
        <f t="shared" si="26"/>
        <v>182.91446208112873</v>
      </c>
      <c r="Y109" s="27">
        <v>101</v>
      </c>
      <c r="Z109" s="22">
        <f t="shared" si="29"/>
        <v>65698.521415343916</v>
      </c>
      <c r="AA109" s="24">
        <f t="shared" si="27"/>
        <v>184.74360670194002</v>
      </c>
      <c r="AB109" s="21">
        <v>94</v>
      </c>
      <c r="AC109" s="22">
        <f t="shared" si="30"/>
        <v>61145.158544973536</v>
      </c>
      <c r="AD109" s="24">
        <f t="shared" si="28"/>
        <v>171.93959435626098</v>
      </c>
      <c r="AE109" s="22"/>
      <c r="AF109" s="22"/>
      <c r="AG109" s="22">
        <v>30</v>
      </c>
      <c r="AH109" s="22">
        <v>100</v>
      </c>
      <c r="AI109" s="22">
        <v>111</v>
      </c>
      <c r="AJ109" s="22">
        <v>140</v>
      </c>
      <c r="AK109" s="22">
        <v>109</v>
      </c>
      <c r="AL109" s="22">
        <v>30</v>
      </c>
      <c r="AM109" s="22">
        <v>7</v>
      </c>
      <c r="AN109" s="25">
        <v>85</v>
      </c>
      <c r="AO109" s="25">
        <v>54.9</v>
      </c>
      <c r="AP109" s="26">
        <v>91.77</v>
      </c>
      <c r="AQ109" s="25">
        <v>106</v>
      </c>
      <c r="AR109" s="25">
        <v>106.75</v>
      </c>
      <c r="AS109" s="25">
        <v>107.5</v>
      </c>
      <c r="AT109" s="25"/>
    </row>
    <row r="110" spans="2:46">
      <c r="B110" s="11">
        <v>45320</v>
      </c>
      <c r="C110" s="20">
        <v>83.14</v>
      </c>
      <c r="D110" s="21">
        <v>94.85</v>
      </c>
      <c r="E110" s="22">
        <f t="shared" si="17"/>
        <v>61824.482120370369</v>
      </c>
      <c r="F110" s="23">
        <v>84.6</v>
      </c>
      <c r="G110" s="22">
        <f t="shared" si="16"/>
        <v>55143.396809523816</v>
      </c>
      <c r="H110" s="20">
        <v>55500</v>
      </c>
      <c r="I110" s="24">
        <f t="shared" si="19"/>
        <v>156.06546313480681</v>
      </c>
      <c r="J110" s="20">
        <v>55800</v>
      </c>
      <c r="K110" s="24">
        <f t="shared" si="20"/>
        <v>156.90906023283279</v>
      </c>
      <c r="L110" s="20">
        <f t="shared" si="31"/>
        <v>57300</v>
      </c>
      <c r="M110" s="24">
        <f t="shared" si="21"/>
        <v>161.12704572296272</v>
      </c>
      <c r="N110" s="20">
        <v>80000</v>
      </c>
      <c r="O110" s="24">
        <f t="shared" si="22"/>
        <v>224.95922614026207</v>
      </c>
      <c r="P110" s="22">
        <v>6500</v>
      </c>
      <c r="Q110" s="24">
        <f t="shared" si="23"/>
        <v>18.277937123896294</v>
      </c>
      <c r="R110" s="22">
        <v>6000</v>
      </c>
      <c r="S110" s="24">
        <f t="shared" si="24"/>
        <v>16.871941960519656</v>
      </c>
      <c r="T110" s="22">
        <v>600</v>
      </c>
      <c r="U110" s="24">
        <f t="shared" si="25"/>
        <v>1.6871941960519656</v>
      </c>
      <c r="V110" s="23">
        <v>102.5</v>
      </c>
      <c r="W110" s="22">
        <f t="shared" si="32"/>
        <v>66810.853108465613</v>
      </c>
      <c r="X110" s="24">
        <f t="shared" si="26"/>
        <v>187.87147266313934</v>
      </c>
      <c r="Y110" s="27">
        <v>103</v>
      </c>
      <c r="Z110" s="22">
        <f t="shared" si="29"/>
        <v>67136.759708994708</v>
      </c>
      <c r="AA110" s="24">
        <f t="shared" si="27"/>
        <v>188.7879188712522</v>
      </c>
      <c r="AB110" s="21">
        <v>97</v>
      </c>
      <c r="AC110" s="22">
        <f t="shared" si="30"/>
        <v>63225.880502645501</v>
      </c>
      <c r="AD110" s="24">
        <f t="shared" si="28"/>
        <v>177.79056437389769</v>
      </c>
      <c r="AE110" s="22"/>
      <c r="AF110" s="22"/>
      <c r="AG110" s="22">
        <v>30</v>
      </c>
      <c r="AH110" s="22">
        <v>100</v>
      </c>
      <c r="AI110" s="22">
        <v>111</v>
      </c>
      <c r="AJ110" s="22">
        <v>140</v>
      </c>
      <c r="AK110" s="22">
        <v>109</v>
      </c>
      <c r="AL110" s="22">
        <v>30</v>
      </c>
      <c r="AM110" s="22">
        <v>7</v>
      </c>
      <c r="AN110" s="25">
        <v>86.1</v>
      </c>
      <c r="AO110" s="25">
        <v>54.9</v>
      </c>
      <c r="AP110" s="26">
        <v>92.72</v>
      </c>
      <c r="AQ110" s="25">
        <v>106</v>
      </c>
      <c r="AR110" s="25">
        <v>106.75</v>
      </c>
      <c r="AS110" s="25">
        <v>107.5</v>
      </c>
      <c r="AT110" s="25"/>
    </row>
    <row r="111" spans="2:46">
      <c r="B111" s="11">
        <v>45327</v>
      </c>
      <c r="C111" s="20">
        <v>83.04</v>
      </c>
      <c r="D111" s="21">
        <v>95.25</v>
      </c>
      <c r="E111" s="22">
        <f t="shared" si="17"/>
        <v>62010.531904761905</v>
      </c>
      <c r="F111" s="23">
        <v>87.31</v>
      </c>
      <c r="G111" s="22">
        <f t="shared" si="16"/>
        <v>56841.360006349219</v>
      </c>
      <c r="H111" s="20">
        <v>55500</v>
      </c>
      <c r="I111" s="24">
        <f t="shared" si="19"/>
        <v>156.06546313480681</v>
      </c>
      <c r="J111" s="20">
        <v>55500</v>
      </c>
      <c r="K111" s="24">
        <f t="shared" si="20"/>
        <v>156.06546313480681</v>
      </c>
      <c r="L111" s="20">
        <f t="shared" si="31"/>
        <v>57000</v>
      </c>
      <c r="M111" s="24">
        <f t="shared" si="21"/>
        <v>160.28344862493674</v>
      </c>
      <c r="N111" s="20">
        <v>79000</v>
      </c>
      <c r="O111" s="24">
        <f t="shared" si="22"/>
        <v>222.14723581350879</v>
      </c>
      <c r="P111" s="22">
        <v>6500</v>
      </c>
      <c r="Q111" s="24">
        <f t="shared" si="23"/>
        <v>18.277937123896294</v>
      </c>
      <c r="R111" s="22">
        <v>6000</v>
      </c>
      <c r="S111" s="24">
        <f t="shared" si="24"/>
        <v>16.871941960519656</v>
      </c>
      <c r="T111" s="22">
        <v>600</v>
      </c>
      <c r="U111" s="24">
        <f t="shared" si="25"/>
        <v>1.6871941960519656</v>
      </c>
      <c r="V111" s="23">
        <v>104</v>
      </c>
      <c r="W111" s="22">
        <f t="shared" si="32"/>
        <v>67707.037460317457</v>
      </c>
      <c r="X111" s="24">
        <f t="shared" si="26"/>
        <v>190.39153439153438</v>
      </c>
      <c r="Y111" s="27">
        <v>103</v>
      </c>
      <c r="Z111" s="22">
        <f t="shared" si="29"/>
        <v>67056.008253968263</v>
      </c>
      <c r="AA111" s="24">
        <f t="shared" si="27"/>
        <v>188.56084656084658</v>
      </c>
      <c r="AB111" s="21">
        <v>101</v>
      </c>
      <c r="AC111" s="22">
        <f t="shared" si="30"/>
        <v>65753.949841269845</v>
      </c>
      <c r="AD111" s="24">
        <f t="shared" si="28"/>
        <v>184.89947089947091</v>
      </c>
      <c r="AE111" s="22"/>
      <c r="AF111" s="22"/>
      <c r="AG111" s="22">
        <v>45</v>
      </c>
      <c r="AH111" s="22">
        <v>101</v>
      </c>
      <c r="AI111" s="22">
        <v>109</v>
      </c>
      <c r="AJ111" s="22">
        <v>140</v>
      </c>
      <c r="AK111" s="22">
        <v>109</v>
      </c>
      <c r="AL111" s="22">
        <v>45</v>
      </c>
      <c r="AM111" s="22">
        <v>7</v>
      </c>
      <c r="AN111" s="25">
        <v>86.7</v>
      </c>
      <c r="AO111" s="25">
        <v>57.1</v>
      </c>
      <c r="AP111" s="26">
        <v>93.9</v>
      </c>
      <c r="AQ111" s="25">
        <v>106</v>
      </c>
      <c r="AR111" s="25">
        <v>106.75</v>
      </c>
      <c r="AS111" s="25">
        <v>107.5</v>
      </c>
      <c r="AT111" s="25"/>
    </row>
    <row r="112" spans="2:46">
      <c r="B112" s="11">
        <v>45334</v>
      </c>
      <c r="C112" s="20">
        <v>83.02</v>
      </c>
      <c r="D112" s="21">
        <v>97.4</v>
      </c>
      <c r="E112" s="22">
        <f t="shared" si="17"/>
        <v>63394.972481481476</v>
      </c>
      <c r="F112" s="23">
        <v>91.35</v>
      </c>
      <c r="G112" s="22">
        <f t="shared" si="16"/>
        <v>59457.194416666658</v>
      </c>
      <c r="H112" s="20">
        <v>56000</v>
      </c>
      <c r="I112" s="24">
        <f t="shared" si="19"/>
        <v>157.47145829818345</v>
      </c>
      <c r="J112" s="20">
        <v>56500</v>
      </c>
      <c r="K112" s="24">
        <f t="shared" si="20"/>
        <v>158.87745346156009</v>
      </c>
      <c r="L112" s="20">
        <f t="shared" si="31"/>
        <v>58000</v>
      </c>
      <c r="M112" s="24">
        <f t="shared" si="21"/>
        <v>163.09543895169</v>
      </c>
      <c r="N112" s="20">
        <v>83000</v>
      </c>
      <c r="O112" s="24">
        <f t="shared" si="22"/>
        <v>233.39519712052191</v>
      </c>
      <c r="P112" s="22">
        <v>6500</v>
      </c>
      <c r="Q112" s="24">
        <f t="shared" si="23"/>
        <v>18.277937123896294</v>
      </c>
      <c r="R112" s="22">
        <v>6000</v>
      </c>
      <c r="S112" s="24">
        <f t="shared" si="24"/>
        <v>16.871941960519656</v>
      </c>
      <c r="T112" s="22">
        <v>600</v>
      </c>
      <c r="U112" s="24">
        <f t="shared" si="25"/>
        <v>1.6871941960519656</v>
      </c>
      <c r="V112" s="23">
        <v>109</v>
      </c>
      <c r="W112" s="22">
        <f t="shared" si="32"/>
        <v>70945.092407407399</v>
      </c>
      <c r="X112" s="24">
        <f t="shared" si="26"/>
        <v>199.49691358024688</v>
      </c>
      <c r="Y112" s="27">
        <v>110</v>
      </c>
      <c r="Z112" s="22">
        <f t="shared" si="29"/>
        <v>71595.964814814797</v>
      </c>
      <c r="AA112" s="24">
        <f t="shared" si="27"/>
        <v>201.32716049382711</v>
      </c>
      <c r="AB112" s="21">
        <v>105</v>
      </c>
      <c r="AC112" s="22">
        <f t="shared" si="30"/>
        <v>68341.602777777764</v>
      </c>
      <c r="AD112" s="24">
        <f t="shared" si="28"/>
        <v>192.1759259259259</v>
      </c>
      <c r="AE112" s="22"/>
      <c r="AF112" s="22"/>
      <c r="AG112" s="22">
        <v>45</v>
      </c>
      <c r="AH112" s="22">
        <v>101</v>
      </c>
      <c r="AI112" s="22">
        <v>109</v>
      </c>
      <c r="AJ112" s="22">
        <v>140</v>
      </c>
      <c r="AK112" s="22">
        <v>109</v>
      </c>
      <c r="AL112" s="22">
        <v>45</v>
      </c>
      <c r="AM112" s="22">
        <v>7</v>
      </c>
      <c r="AN112" s="25">
        <v>85.7</v>
      </c>
      <c r="AO112" s="25">
        <v>57.1</v>
      </c>
      <c r="AP112" s="26">
        <v>93.12</v>
      </c>
      <c r="AQ112" s="25">
        <v>106</v>
      </c>
      <c r="AR112" s="25">
        <v>106.75</v>
      </c>
      <c r="AS112" s="25">
        <v>107.5</v>
      </c>
      <c r="AT112" s="25"/>
    </row>
    <row r="113" spans="2:46">
      <c r="B113" s="11">
        <v>45341</v>
      </c>
      <c r="C113" s="20">
        <v>83.01</v>
      </c>
      <c r="D113" s="21">
        <v>102.35</v>
      </c>
      <c r="E113" s="22">
        <f t="shared" si="17"/>
        <v>66608.766712301585</v>
      </c>
      <c r="F113" s="23">
        <v>94.42</v>
      </c>
      <c r="G113" s="22">
        <f t="shared" si="16"/>
        <v>61447.970229365092</v>
      </c>
      <c r="H113" s="20">
        <v>57500</v>
      </c>
      <c r="I113" s="24">
        <f t="shared" si="19"/>
        <v>161.68944378831335</v>
      </c>
      <c r="J113" s="20">
        <v>58000</v>
      </c>
      <c r="K113" s="24">
        <f t="shared" si="20"/>
        <v>163.09543895169</v>
      </c>
      <c r="L113" s="20">
        <v>62000</v>
      </c>
      <c r="M113" s="24">
        <f t="shared" si="21"/>
        <v>174.3434002587031</v>
      </c>
      <c r="N113" s="20">
        <v>83000</v>
      </c>
      <c r="O113" s="24">
        <f t="shared" si="22"/>
        <v>233.39519712052191</v>
      </c>
      <c r="P113" s="22">
        <v>6500</v>
      </c>
      <c r="Q113" s="24">
        <f t="shared" si="23"/>
        <v>18.277937123896294</v>
      </c>
      <c r="R113" s="22">
        <v>6000</v>
      </c>
      <c r="S113" s="24">
        <f t="shared" si="24"/>
        <v>16.871941960519656</v>
      </c>
      <c r="T113" s="22">
        <v>600</v>
      </c>
      <c r="U113" s="24">
        <f t="shared" si="25"/>
        <v>1.6871941960519656</v>
      </c>
      <c r="V113" s="23">
        <v>110</v>
      </c>
      <c r="W113" s="22">
        <f t="shared" si="32"/>
        <v>71587.34087301587</v>
      </c>
      <c r="X113" s="24">
        <f t="shared" si="26"/>
        <v>201.30291005291005</v>
      </c>
      <c r="Y113" s="27">
        <v>112</v>
      </c>
      <c r="Z113" s="22">
        <f t="shared" si="29"/>
        <v>72888.928888888884</v>
      </c>
      <c r="AA113" s="24">
        <f t="shared" si="27"/>
        <v>204.96296296296293</v>
      </c>
      <c r="AB113" s="21">
        <v>107</v>
      </c>
      <c r="AC113" s="22">
        <f t="shared" si="30"/>
        <v>69634.958849206349</v>
      </c>
      <c r="AD113" s="24">
        <f t="shared" si="28"/>
        <v>195.81283068783068</v>
      </c>
      <c r="AE113" s="22"/>
      <c r="AF113" s="22"/>
      <c r="AG113" s="22">
        <v>45</v>
      </c>
      <c r="AH113" s="22">
        <v>101</v>
      </c>
      <c r="AI113" s="22">
        <v>115</v>
      </c>
      <c r="AJ113" s="22">
        <v>140</v>
      </c>
      <c r="AK113" s="22">
        <v>109</v>
      </c>
      <c r="AL113" s="22">
        <v>45</v>
      </c>
      <c r="AM113" s="22">
        <v>7</v>
      </c>
      <c r="AN113" s="25">
        <v>86.8</v>
      </c>
      <c r="AO113" s="25">
        <v>56.1</v>
      </c>
      <c r="AP113" s="26">
        <v>93.72</v>
      </c>
      <c r="AQ113" s="25">
        <v>106</v>
      </c>
      <c r="AR113" s="25">
        <v>106.75</v>
      </c>
      <c r="AS113" s="25">
        <v>107.5</v>
      </c>
      <c r="AT113" s="25"/>
    </row>
    <row r="114" spans="2:46">
      <c r="B114" s="11">
        <v>45348</v>
      </c>
      <c r="C114" s="20">
        <v>82.88</v>
      </c>
      <c r="D114" s="21">
        <v>101.5</v>
      </c>
      <c r="E114" s="22">
        <f t="shared" si="17"/>
        <v>65952.14370370371</v>
      </c>
      <c r="F114" s="23">
        <v>92.92</v>
      </c>
      <c r="G114" s="22">
        <f t="shared" si="16"/>
        <v>60377.075792592586</v>
      </c>
      <c r="H114" s="20">
        <v>58000</v>
      </c>
      <c r="I114" s="24">
        <f t="shared" si="19"/>
        <v>163.09543895169</v>
      </c>
      <c r="J114" s="20">
        <v>58500</v>
      </c>
      <c r="K114" s="24">
        <f t="shared" si="20"/>
        <v>164.50143411506664</v>
      </c>
      <c r="L114" s="20">
        <v>62000</v>
      </c>
      <c r="M114" s="24">
        <f t="shared" si="21"/>
        <v>174.3434002587031</v>
      </c>
      <c r="N114" s="20">
        <v>83000</v>
      </c>
      <c r="O114" s="24">
        <f t="shared" si="22"/>
        <v>233.39519712052191</v>
      </c>
      <c r="P114" s="22">
        <v>6500</v>
      </c>
      <c r="Q114" s="24">
        <f t="shared" si="23"/>
        <v>18.277937123896294</v>
      </c>
      <c r="R114" s="22">
        <v>6000</v>
      </c>
      <c r="S114" s="24">
        <f t="shared" si="24"/>
        <v>16.871941960519656</v>
      </c>
      <c r="T114" s="22">
        <v>600</v>
      </c>
      <c r="U114" s="24">
        <f t="shared" si="25"/>
        <v>1.6871941960519656</v>
      </c>
      <c r="V114" s="23">
        <v>111</v>
      </c>
      <c r="W114" s="22">
        <f t="shared" si="32"/>
        <v>72125.004444444436</v>
      </c>
      <c r="X114" s="24">
        <f t="shared" si="26"/>
        <v>202.81481481481478</v>
      </c>
      <c r="Y114" s="27">
        <v>111</v>
      </c>
      <c r="Z114" s="22">
        <f t="shared" si="29"/>
        <v>72125.004444444436</v>
      </c>
      <c r="AA114" s="24">
        <f t="shared" si="27"/>
        <v>202.81481481481478</v>
      </c>
      <c r="AB114" s="21">
        <v>105</v>
      </c>
      <c r="AC114" s="22">
        <f t="shared" si="30"/>
        <v>68226.35555555555</v>
      </c>
      <c r="AD114" s="24">
        <f t="shared" si="28"/>
        <v>191.85185185185185</v>
      </c>
      <c r="AE114" s="22"/>
      <c r="AF114" s="22"/>
      <c r="AG114" s="22">
        <v>45</v>
      </c>
      <c r="AH114" s="22">
        <v>101</v>
      </c>
      <c r="AI114" s="22">
        <v>115</v>
      </c>
      <c r="AJ114" s="22">
        <v>140</v>
      </c>
      <c r="AK114" s="22">
        <v>109</v>
      </c>
      <c r="AL114" s="22">
        <v>45</v>
      </c>
      <c r="AM114" s="22">
        <v>7</v>
      </c>
      <c r="AN114" s="25">
        <v>86.8</v>
      </c>
      <c r="AO114" s="25">
        <v>56.1</v>
      </c>
      <c r="AP114" s="26">
        <v>93.72</v>
      </c>
      <c r="AQ114" s="25">
        <v>106</v>
      </c>
      <c r="AR114" s="25">
        <v>106.75</v>
      </c>
      <c r="AS114" s="25">
        <v>107.5</v>
      </c>
      <c r="AT114" s="25"/>
    </row>
    <row r="115" spans="2:46">
      <c r="B115" s="11">
        <v>45355</v>
      </c>
      <c r="C115" s="20">
        <v>82.9</v>
      </c>
      <c r="D115" s="21">
        <v>101.95</v>
      </c>
      <c r="E115" s="22">
        <f t="shared" si="17"/>
        <v>66260.528022486775</v>
      </c>
      <c r="F115" s="23">
        <v>94.5</v>
      </c>
      <c r="G115" s="22">
        <f t="shared" si="16"/>
        <v>61418.537499999999</v>
      </c>
      <c r="H115" s="20">
        <v>60000</v>
      </c>
      <c r="I115" s="24">
        <f t="shared" si="19"/>
        <v>168.71941960519655</v>
      </c>
      <c r="J115" s="20">
        <v>60300</v>
      </c>
      <c r="K115" s="24">
        <f t="shared" si="20"/>
        <v>169.56301670322253</v>
      </c>
      <c r="L115" s="20">
        <v>62000</v>
      </c>
      <c r="M115" s="24">
        <f t="shared" si="21"/>
        <v>174.3434002587031</v>
      </c>
      <c r="N115" s="20">
        <v>83000</v>
      </c>
      <c r="O115" s="24">
        <f t="shared" si="22"/>
        <v>233.39519712052191</v>
      </c>
      <c r="P115" s="22">
        <v>6500</v>
      </c>
      <c r="Q115" s="24">
        <f t="shared" si="23"/>
        <v>18.277937123896294</v>
      </c>
      <c r="R115" s="22">
        <v>6000</v>
      </c>
      <c r="S115" s="24">
        <f t="shared" si="24"/>
        <v>16.871941960519656</v>
      </c>
      <c r="T115" s="22">
        <v>600</v>
      </c>
      <c r="U115" s="24">
        <f t="shared" si="25"/>
        <v>1.6871941960519656</v>
      </c>
      <c r="V115" s="23">
        <v>111</v>
      </c>
      <c r="W115" s="22">
        <f t="shared" si="32"/>
        <v>72142.40912698413</v>
      </c>
      <c r="X115" s="24">
        <f t="shared" si="26"/>
        <v>202.86375661375661</v>
      </c>
      <c r="Y115" s="27">
        <v>111</v>
      </c>
      <c r="Z115" s="22">
        <f t="shared" si="29"/>
        <v>72142.40912698413</v>
      </c>
      <c r="AA115" s="24">
        <f t="shared" si="27"/>
        <v>202.86375661375661</v>
      </c>
      <c r="AB115" s="21">
        <v>107</v>
      </c>
      <c r="AC115" s="22">
        <f t="shared" si="30"/>
        <v>69542.682671957678</v>
      </c>
      <c r="AD115" s="24">
        <f t="shared" si="28"/>
        <v>195.55335097001765</v>
      </c>
      <c r="AE115" s="22"/>
      <c r="AF115" s="22"/>
      <c r="AG115" s="22">
        <v>45</v>
      </c>
      <c r="AH115" s="22">
        <v>101</v>
      </c>
      <c r="AI115" s="22">
        <v>113</v>
      </c>
      <c r="AJ115" s="22">
        <v>140</v>
      </c>
      <c r="AK115" s="22">
        <v>109</v>
      </c>
      <c r="AL115" s="22">
        <v>45</v>
      </c>
      <c r="AM115" s="22">
        <v>4</v>
      </c>
      <c r="AN115" s="25">
        <v>86.2</v>
      </c>
      <c r="AO115" s="25">
        <v>57</v>
      </c>
      <c r="AP115" s="26">
        <v>93.51</v>
      </c>
      <c r="AQ115" s="25">
        <v>110.5</v>
      </c>
      <c r="AR115" s="25">
        <v>111.25</v>
      </c>
      <c r="AS115" s="25">
        <v>112</v>
      </c>
      <c r="AT115" s="25"/>
    </row>
    <row r="116" spans="2:46">
      <c r="B116" s="11">
        <v>45363</v>
      </c>
      <c r="C116" s="20">
        <v>82.78</v>
      </c>
      <c r="D116" s="21">
        <v>101.6</v>
      </c>
      <c r="E116" s="22">
        <f t="shared" si="17"/>
        <v>65937.467322751327</v>
      </c>
      <c r="F116" s="23">
        <v>94.51</v>
      </c>
      <c r="G116" s="22">
        <f t="shared" si="16"/>
        <v>61336.122408201059</v>
      </c>
      <c r="H116" s="20">
        <v>62000</v>
      </c>
      <c r="I116" s="24">
        <f t="shared" si="19"/>
        <v>174.3434002587031</v>
      </c>
      <c r="J116" s="20">
        <v>62500</v>
      </c>
      <c r="K116" s="24">
        <f t="shared" si="20"/>
        <v>175.74939542207974</v>
      </c>
      <c r="L116" s="20">
        <v>64500</v>
      </c>
      <c r="M116" s="24">
        <f t="shared" si="21"/>
        <v>181.37337607558629</v>
      </c>
      <c r="N116" s="20">
        <v>83000</v>
      </c>
      <c r="O116" s="24">
        <f t="shared" si="22"/>
        <v>233.39519712052191</v>
      </c>
      <c r="P116" s="22">
        <v>6500</v>
      </c>
      <c r="Q116" s="24">
        <f t="shared" si="23"/>
        <v>18.277937123896294</v>
      </c>
      <c r="R116" s="22">
        <v>6000</v>
      </c>
      <c r="S116" s="24">
        <f t="shared" si="24"/>
        <v>16.871941960519656</v>
      </c>
      <c r="T116" s="22">
        <v>600</v>
      </c>
      <c r="U116" s="24">
        <f t="shared" si="25"/>
        <v>1.6871941960519656</v>
      </c>
      <c r="V116" s="23">
        <v>115</v>
      </c>
      <c r="W116" s="22">
        <f t="shared" si="32"/>
        <v>74633.944312169318</v>
      </c>
      <c r="X116" s="24">
        <f t="shared" si="26"/>
        <v>209.86992945326281</v>
      </c>
      <c r="Y116" s="27">
        <v>112</v>
      </c>
      <c r="Z116" s="22">
        <f t="shared" si="29"/>
        <v>72686.971851851849</v>
      </c>
      <c r="AA116" s="24">
        <f t="shared" si="27"/>
        <v>204.39506172839506</v>
      </c>
      <c r="AB116" s="21">
        <v>107</v>
      </c>
      <c r="AC116" s="22">
        <f t="shared" si="30"/>
        <v>69442.017751322754</v>
      </c>
      <c r="AD116" s="24">
        <f t="shared" si="28"/>
        <v>195.27028218694886</v>
      </c>
      <c r="AE116" s="22"/>
      <c r="AF116" s="22"/>
      <c r="AG116" s="22">
        <v>45</v>
      </c>
      <c r="AH116" s="22">
        <v>101</v>
      </c>
      <c r="AI116" s="22">
        <v>119</v>
      </c>
      <c r="AJ116" s="22">
        <v>145</v>
      </c>
      <c r="AK116" s="22">
        <v>109</v>
      </c>
      <c r="AL116" s="22">
        <v>45</v>
      </c>
      <c r="AM116" s="22">
        <v>4.5</v>
      </c>
      <c r="AN116" s="25">
        <v>86.2</v>
      </c>
      <c r="AO116" s="25">
        <v>55.6</v>
      </c>
      <c r="AP116" s="26">
        <v>93</v>
      </c>
      <c r="AQ116" s="25">
        <v>110.5</v>
      </c>
      <c r="AR116" s="25">
        <v>111.25</v>
      </c>
      <c r="AS116" s="25">
        <v>112</v>
      </c>
      <c r="AT116" s="25"/>
    </row>
    <row r="117" spans="2:46">
      <c r="B117" s="11">
        <v>45377</v>
      </c>
      <c r="C117" s="20">
        <v>83.32</v>
      </c>
      <c r="D117" s="21">
        <v>96.45</v>
      </c>
      <c r="E117" s="22">
        <f t="shared" si="17"/>
        <v>63003.492563492058</v>
      </c>
      <c r="F117" s="23">
        <v>94.18</v>
      </c>
      <c r="G117" s="22">
        <f t="shared" si="16"/>
        <v>61520.673194708994</v>
      </c>
      <c r="H117" s="20">
        <v>60300</v>
      </c>
      <c r="I117" s="24">
        <f t="shared" si="19"/>
        <v>169.56301670322253</v>
      </c>
      <c r="J117" s="20">
        <v>60800</v>
      </c>
      <c r="K117" s="24">
        <f t="shared" si="20"/>
        <v>170.96901186659917</v>
      </c>
      <c r="L117" s="20">
        <v>62800</v>
      </c>
      <c r="M117" s="24">
        <f t="shared" si="21"/>
        <v>176.59299252010572</v>
      </c>
      <c r="N117" s="20">
        <v>83000</v>
      </c>
      <c r="O117" s="24">
        <f t="shared" si="22"/>
        <v>233.39519712052191</v>
      </c>
      <c r="P117" s="22">
        <v>6500</v>
      </c>
      <c r="Q117" s="24">
        <f t="shared" si="23"/>
        <v>18.277937123896294</v>
      </c>
      <c r="R117" s="22">
        <v>6000</v>
      </c>
      <c r="S117" s="24">
        <f t="shared" si="24"/>
        <v>16.871941960519656</v>
      </c>
      <c r="T117" s="22">
        <v>600</v>
      </c>
      <c r="U117" s="24">
        <f t="shared" si="25"/>
        <v>1.6871941960519656</v>
      </c>
      <c r="V117" s="23">
        <v>109</v>
      </c>
      <c r="W117" s="22">
        <f t="shared" si="32"/>
        <v>71201.45867724868</v>
      </c>
      <c r="X117" s="24">
        <f t="shared" si="26"/>
        <v>200.21781305114638</v>
      </c>
      <c r="Y117" s="27">
        <v>107</v>
      </c>
      <c r="Z117" s="22">
        <f t="shared" si="29"/>
        <v>69895.009894179893</v>
      </c>
      <c r="AA117" s="24">
        <f t="shared" si="27"/>
        <v>196.54409171075838</v>
      </c>
      <c r="AB117" s="21">
        <v>102.5</v>
      </c>
      <c r="AC117" s="22">
        <f t="shared" si="30"/>
        <v>66955.500132275134</v>
      </c>
      <c r="AD117" s="24">
        <f t="shared" si="28"/>
        <v>188.27821869488537</v>
      </c>
      <c r="AE117" s="22"/>
      <c r="AF117" s="22"/>
      <c r="AG117" s="22">
        <v>40</v>
      </c>
      <c r="AH117" s="22">
        <v>101</v>
      </c>
      <c r="AI117" s="22">
        <v>116</v>
      </c>
      <c r="AJ117" s="22">
        <v>152</v>
      </c>
      <c r="AK117" s="22">
        <v>113</v>
      </c>
      <c r="AL117" s="22">
        <v>40</v>
      </c>
      <c r="AM117" s="22">
        <v>4.5</v>
      </c>
      <c r="AN117" s="25">
        <v>86.2</v>
      </c>
      <c r="AO117" s="25">
        <v>55.6</v>
      </c>
      <c r="AP117" s="26">
        <v>93</v>
      </c>
      <c r="AQ117" s="25">
        <v>110.5</v>
      </c>
      <c r="AR117" s="25">
        <v>111.25</v>
      </c>
      <c r="AS117" s="25">
        <v>112</v>
      </c>
      <c r="AT117" s="25"/>
    </row>
    <row r="118" spans="2:46">
      <c r="B118" s="11">
        <v>45383</v>
      </c>
      <c r="C118" s="20">
        <v>83.39</v>
      </c>
      <c r="D118" s="21">
        <v>95.6</v>
      </c>
      <c r="E118" s="22">
        <f t="shared" si="17"/>
        <v>62500.71675661375</v>
      </c>
      <c r="F118" s="23">
        <v>92.23</v>
      </c>
      <c r="G118" s="22">
        <f t="shared" si="16"/>
        <v>60297.501113624341</v>
      </c>
      <c r="H118" s="20">
        <v>60700</v>
      </c>
      <c r="I118" s="24">
        <f t="shared" si="19"/>
        <v>170.68781283392386</v>
      </c>
      <c r="J118" s="20">
        <v>61700</v>
      </c>
      <c r="K118" s="24">
        <f t="shared" si="20"/>
        <v>173.49980316067712</v>
      </c>
      <c r="L118" s="20">
        <v>63700</v>
      </c>
      <c r="M118" s="24">
        <f t="shared" si="21"/>
        <v>179.12378381418367</v>
      </c>
      <c r="N118" s="20">
        <v>82000</v>
      </c>
      <c r="O118" s="24">
        <f t="shared" si="22"/>
        <v>230.58320679376862</v>
      </c>
      <c r="P118" s="22">
        <v>6500</v>
      </c>
      <c r="Q118" s="24">
        <f t="shared" si="23"/>
        <v>18.277937123896294</v>
      </c>
      <c r="R118" s="22">
        <v>6000</v>
      </c>
      <c r="S118" s="24">
        <f t="shared" si="24"/>
        <v>16.871941960519656</v>
      </c>
      <c r="T118" s="22">
        <v>600</v>
      </c>
      <c r="U118" s="24">
        <f t="shared" si="25"/>
        <v>1.6871941960519656</v>
      </c>
      <c r="V118" s="23">
        <v>109</v>
      </c>
      <c r="W118" s="22">
        <f t="shared" si="32"/>
        <v>71261.277473544978</v>
      </c>
      <c r="X118" s="24">
        <f t="shared" si="26"/>
        <v>200.3860229276896</v>
      </c>
      <c r="Y118" s="27">
        <v>107</v>
      </c>
      <c r="Z118" s="22">
        <f t="shared" si="29"/>
        <v>69953.731097883603</v>
      </c>
      <c r="AA118" s="24">
        <f t="shared" si="27"/>
        <v>196.70921516754851</v>
      </c>
      <c r="AB118" s="21">
        <v>102</v>
      </c>
      <c r="AC118" s="22">
        <f t="shared" si="30"/>
        <v>66684.865158730157</v>
      </c>
      <c r="AD118" s="24">
        <f t="shared" si="28"/>
        <v>187.51719576719577</v>
      </c>
      <c r="AE118" s="22"/>
      <c r="AF118" s="22"/>
      <c r="AG118" s="22">
        <v>40</v>
      </c>
      <c r="AH118" s="22">
        <v>98</v>
      </c>
      <c r="AI118" s="22">
        <v>116</v>
      </c>
      <c r="AJ118" s="22">
        <v>152</v>
      </c>
      <c r="AK118" s="22">
        <v>113</v>
      </c>
      <c r="AL118" s="22">
        <v>40</v>
      </c>
      <c r="AM118" s="22">
        <v>4.5</v>
      </c>
      <c r="AN118" s="25">
        <v>86.8</v>
      </c>
      <c r="AO118" s="25">
        <v>55.6</v>
      </c>
      <c r="AP118" s="26">
        <v>93.55</v>
      </c>
      <c r="AQ118" s="25">
        <v>110.5</v>
      </c>
      <c r="AR118" s="25">
        <v>111.25</v>
      </c>
      <c r="AS118" s="25">
        <v>112</v>
      </c>
      <c r="AT118" s="25"/>
    </row>
    <row r="119" spans="2:46">
      <c r="B119" s="11">
        <v>45390</v>
      </c>
      <c r="C119" s="20">
        <v>83.21</v>
      </c>
      <c r="D119" s="21">
        <v>91.95</v>
      </c>
      <c r="E119" s="22">
        <f t="shared" si="17"/>
        <v>59984.685656746027</v>
      </c>
      <c r="F119" s="23">
        <v>83.26</v>
      </c>
      <c r="G119" s="22">
        <f t="shared" si="16"/>
        <v>54315.659899735452</v>
      </c>
      <c r="H119" s="20">
        <v>60200</v>
      </c>
      <c r="I119" s="24">
        <f t="shared" si="19"/>
        <v>169.28181767054721</v>
      </c>
      <c r="J119" s="20">
        <v>61200</v>
      </c>
      <c r="K119" s="24">
        <f t="shared" si="20"/>
        <v>172.09380799730047</v>
      </c>
      <c r="L119" s="20">
        <v>63200</v>
      </c>
      <c r="M119" s="24">
        <f t="shared" si="21"/>
        <v>177.71778865080705</v>
      </c>
      <c r="N119" s="20">
        <v>82000</v>
      </c>
      <c r="O119" s="24">
        <f t="shared" si="22"/>
        <v>230.58320679376862</v>
      </c>
      <c r="P119" s="22">
        <v>6500</v>
      </c>
      <c r="Q119" s="24">
        <f t="shared" si="23"/>
        <v>18.277937123896294</v>
      </c>
      <c r="R119" s="22">
        <v>6000</v>
      </c>
      <c r="S119" s="24">
        <f t="shared" si="24"/>
        <v>16.871941960519656</v>
      </c>
      <c r="T119" s="22">
        <v>550</v>
      </c>
      <c r="U119" s="24">
        <f t="shared" si="25"/>
        <v>1.5465946797143018</v>
      </c>
      <c r="V119" s="23">
        <v>109</v>
      </c>
      <c r="W119" s="22">
        <f t="shared" si="32"/>
        <v>71107.457711640222</v>
      </c>
      <c r="X119" s="24">
        <f t="shared" si="26"/>
        <v>199.95348324514993</v>
      </c>
      <c r="Y119" s="27">
        <v>104</v>
      </c>
      <c r="Z119" s="22">
        <f t="shared" si="29"/>
        <v>67845.647724867711</v>
      </c>
      <c r="AA119" s="24">
        <f t="shared" si="27"/>
        <v>190.7813051146384</v>
      </c>
      <c r="AB119" s="21">
        <v>98</v>
      </c>
      <c r="AC119" s="22">
        <f t="shared" si="30"/>
        <v>63931.475740740738</v>
      </c>
      <c r="AD119" s="24">
        <f t="shared" si="28"/>
        <v>179.77469135802468</v>
      </c>
      <c r="AE119" s="22"/>
      <c r="AF119" s="22"/>
      <c r="AG119" s="22">
        <v>35</v>
      </c>
      <c r="AH119" s="22">
        <v>98</v>
      </c>
      <c r="AI119" s="22">
        <v>115</v>
      </c>
      <c r="AJ119" s="22">
        <v>152</v>
      </c>
      <c r="AK119" s="22">
        <v>113</v>
      </c>
      <c r="AL119" s="22">
        <v>40</v>
      </c>
      <c r="AM119" s="22">
        <v>4.5</v>
      </c>
      <c r="AN119" s="25">
        <v>86.8</v>
      </c>
      <c r="AO119" s="25">
        <v>55.6</v>
      </c>
      <c r="AP119" s="26">
        <v>93.55</v>
      </c>
      <c r="AQ119" s="25">
        <v>110.5</v>
      </c>
      <c r="AR119" s="25">
        <v>111.25</v>
      </c>
      <c r="AS119" s="25">
        <v>112</v>
      </c>
      <c r="AT119" s="25"/>
    </row>
    <row r="120" spans="2:46">
      <c r="B120" s="11">
        <v>45397</v>
      </c>
      <c r="C120" s="20">
        <v>83.44</v>
      </c>
      <c r="D120" s="21">
        <v>89.6</v>
      </c>
      <c r="E120" s="22">
        <f t="shared" si="17"/>
        <v>58613.200592592584</v>
      </c>
      <c r="F120" s="23">
        <v>83.85</v>
      </c>
      <c r="G120" s="22">
        <f t="shared" si="16"/>
        <v>54851.750777777779</v>
      </c>
      <c r="H120" s="20">
        <v>59000</v>
      </c>
      <c r="I120" s="24">
        <f t="shared" si="19"/>
        <v>165.90742927844329</v>
      </c>
      <c r="J120" s="20">
        <v>60000</v>
      </c>
      <c r="K120" s="24">
        <f t="shared" si="20"/>
        <v>168.71941960519655</v>
      </c>
      <c r="L120" s="20">
        <v>62000</v>
      </c>
      <c r="M120" s="24">
        <f t="shared" si="21"/>
        <v>174.3434002587031</v>
      </c>
      <c r="N120" s="20">
        <v>81000</v>
      </c>
      <c r="O120" s="24">
        <f t="shared" si="22"/>
        <v>227.77121646701536</v>
      </c>
      <c r="P120" s="22">
        <v>7000</v>
      </c>
      <c r="Q120" s="24">
        <f t="shared" si="23"/>
        <v>19.683932287272931</v>
      </c>
      <c r="R120" s="22">
        <v>6000</v>
      </c>
      <c r="S120" s="24">
        <f t="shared" si="24"/>
        <v>16.871941960519656</v>
      </c>
      <c r="T120" s="22">
        <v>550</v>
      </c>
      <c r="U120" s="24">
        <f t="shared" si="25"/>
        <v>1.5465946797143018</v>
      </c>
      <c r="V120" s="23">
        <v>104.6</v>
      </c>
      <c r="W120" s="22">
        <f t="shared" si="32"/>
        <v>68425.678370370355</v>
      </c>
      <c r="X120" s="24">
        <f t="shared" si="26"/>
        <v>192.4123456790123</v>
      </c>
      <c r="Y120" s="27">
        <v>102</v>
      </c>
      <c r="Z120" s="22">
        <f t="shared" si="29"/>
        <v>66724.848888888897</v>
      </c>
      <c r="AA120" s="24">
        <f t="shared" si="27"/>
        <v>187.62962962962965</v>
      </c>
      <c r="AB120" s="21">
        <v>95</v>
      </c>
      <c r="AC120" s="22">
        <f t="shared" si="30"/>
        <v>62145.69259259259</v>
      </c>
      <c r="AD120" s="24">
        <f t="shared" si="28"/>
        <v>174.75308641975309</v>
      </c>
      <c r="AE120" s="22"/>
      <c r="AF120" s="22"/>
      <c r="AG120" s="22">
        <v>31</v>
      </c>
      <c r="AH120" s="22">
        <v>98</v>
      </c>
      <c r="AI120" s="22">
        <v>115</v>
      </c>
      <c r="AJ120" s="22">
        <v>152</v>
      </c>
      <c r="AK120" s="22">
        <v>113</v>
      </c>
      <c r="AL120" s="22">
        <v>40</v>
      </c>
      <c r="AM120" s="22">
        <v>4.5</v>
      </c>
      <c r="AN120" s="25">
        <v>81.099999999999994</v>
      </c>
      <c r="AO120" s="25">
        <v>54.9</v>
      </c>
      <c r="AP120" s="26">
        <v>88.41</v>
      </c>
      <c r="AQ120" s="25">
        <v>110.5</v>
      </c>
      <c r="AR120" s="25">
        <v>111.25</v>
      </c>
      <c r="AS120" s="25">
        <v>112</v>
      </c>
      <c r="AT120" s="25"/>
    </row>
    <row r="121" spans="2:46">
      <c r="B121" s="11">
        <v>45404</v>
      </c>
      <c r="C121" s="20">
        <v>83.37</v>
      </c>
      <c r="D121" s="21">
        <v>86.55</v>
      </c>
      <c r="E121" s="22">
        <f t="shared" si="17"/>
        <v>56570.498458333335</v>
      </c>
      <c r="F121" s="23">
        <v>82.11</v>
      </c>
      <c r="G121" s="22">
        <f t="shared" si="16"/>
        <v>53668.441691666674</v>
      </c>
      <c r="H121" s="20">
        <v>59000</v>
      </c>
      <c r="I121" s="24">
        <f t="shared" si="19"/>
        <v>165.90742927844329</v>
      </c>
      <c r="J121" s="20">
        <v>59300</v>
      </c>
      <c r="K121" s="24">
        <f t="shared" si="20"/>
        <v>166.75102637646927</v>
      </c>
      <c r="L121" s="20">
        <v>61300</v>
      </c>
      <c r="M121" s="24">
        <f t="shared" si="21"/>
        <v>172.37500702997582</v>
      </c>
      <c r="N121" s="20">
        <v>81000</v>
      </c>
      <c r="O121" s="24">
        <f t="shared" si="22"/>
        <v>227.77121646701536</v>
      </c>
      <c r="P121" s="22">
        <v>7000</v>
      </c>
      <c r="Q121" s="24">
        <f t="shared" si="23"/>
        <v>19.683932287272931</v>
      </c>
      <c r="R121" s="22">
        <v>6000</v>
      </c>
      <c r="S121" s="24">
        <f t="shared" si="24"/>
        <v>16.871941960519656</v>
      </c>
      <c r="T121" s="22">
        <v>550</v>
      </c>
      <c r="U121" s="24">
        <f t="shared" si="25"/>
        <v>1.5465946797143018</v>
      </c>
      <c r="V121" s="23">
        <v>93.25</v>
      </c>
      <c r="W121" s="22">
        <f t="shared" si="32"/>
        <v>60949.728263888886</v>
      </c>
      <c r="X121" s="24">
        <f t="shared" si="26"/>
        <v>171.39004629629628</v>
      </c>
      <c r="Y121" s="27">
        <v>98</v>
      </c>
      <c r="Z121" s="22">
        <f t="shared" si="29"/>
        <v>64054.406111111108</v>
      </c>
      <c r="AA121" s="24">
        <f t="shared" si="27"/>
        <v>180.12037037037035</v>
      </c>
      <c r="AB121" s="21">
        <v>91.5</v>
      </c>
      <c r="AC121" s="22">
        <f t="shared" si="30"/>
        <v>59805.899583333339</v>
      </c>
      <c r="AD121" s="24">
        <f t="shared" si="28"/>
        <v>168.17361111111111</v>
      </c>
      <c r="AE121" s="22"/>
      <c r="AF121" s="22"/>
      <c r="AG121" s="22">
        <v>51</v>
      </c>
      <c r="AH121" s="22">
        <v>95</v>
      </c>
      <c r="AI121" s="22">
        <v>115</v>
      </c>
      <c r="AJ121" s="22">
        <v>152</v>
      </c>
      <c r="AK121" s="22">
        <v>113</v>
      </c>
      <c r="AL121" s="22">
        <v>40</v>
      </c>
      <c r="AM121" s="22">
        <v>4.5</v>
      </c>
      <c r="AN121" s="25">
        <v>81.099999999999994</v>
      </c>
      <c r="AO121" s="25">
        <v>54.9</v>
      </c>
      <c r="AP121" s="26">
        <v>88.41</v>
      </c>
      <c r="AQ121" s="25">
        <v>110.5</v>
      </c>
      <c r="AR121" s="25">
        <v>111.25</v>
      </c>
      <c r="AS121" s="25">
        <v>112</v>
      </c>
      <c r="AT121" s="25"/>
    </row>
    <row r="122" spans="2:46">
      <c r="B122" s="11">
        <v>45411</v>
      </c>
      <c r="C122" s="20">
        <v>83.46</v>
      </c>
      <c r="D122" s="21">
        <v>87.8</v>
      </c>
      <c r="E122" s="22">
        <f t="shared" si="17"/>
        <v>57449.470206349193</v>
      </c>
      <c r="F122" s="23">
        <v>80.3</v>
      </c>
      <c r="G122" s="22">
        <f t="shared" si="16"/>
        <v>52542.055325396825</v>
      </c>
      <c r="H122" s="20">
        <v>58200</v>
      </c>
      <c r="I122" s="24">
        <f t="shared" si="19"/>
        <v>163.65783701704066</v>
      </c>
      <c r="J122" s="20">
        <v>59500</v>
      </c>
      <c r="K122" s="24">
        <f t="shared" si="20"/>
        <v>167.3134244418199</v>
      </c>
      <c r="L122" s="20">
        <v>61500</v>
      </c>
      <c r="M122" s="24">
        <f t="shared" si="21"/>
        <v>172.93740509532648</v>
      </c>
      <c r="N122" s="20">
        <v>80000</v>
      </c>
      <c r="O122" s="24">
        <f t="shared" si="22"/>
        <v>224.95922614026207</v>
      </c>
      <c r="P122" s="22">
        <v>7000</v>
      </c>
      <c r="Q122" s="24">
        <f t="shared" si="23"/>
        <v>19.683932287272931</v>
      </c>
      <c r="R122" s="22">
        <v>6000</v>
      </c>
      <c r="S122" s="24">
        <f t="shared" si="24"/>
        <v>16.871941960519656</v>
      </c>
      <c r="T122" s="22">
        <v>550</v>
      </c>
      <c r="U122" s="24">
        <f t="shared" si="25"/>
        <v>1.5465946797143018</v>
      </c>
      <c r="V122" s="23">
        <v>93</v>
      </c>
      <c r="W122" s="22">
        <f t="shared" si="32"/>
        <v>60851.944523809514</v>
      </c>
      <c r="X122" s="24">
        <f t="shared" si="26"/>
        <v>171.11507936507934</v>
      </c>
      <c r="Y122" s="27">
        <v>98</v>
      </c>
      <c r="Z122" s="22">
        <f t="shared" si="29"/>
        <v>64123.554444444439</v>
      </c>
      <c r="AA122" s="24">
        <f t="shared" si="27"/>
        <v>180.31481481481481</v>
      </c>
      <c r="AB122" s="21">
        <v>91.5</v>
      </c>
      <c r="AC122" s="22">
        <f t="shared" si="30"/>
        <v>59870.461547619037</v>
      </c>
      <c r="AD122" s="24">
        <f t="shared" si="28"/>
        <v>168.35515873015871</v>
      </c>
      <c r="AE122" s="22"/>
      <c r="AF122" s="22"/>
      <c r="AG122" s="22">
        <v>27</v>
      </c>
      <c r="AH122" s="22">
        <v>92</v>
      </c>
      <c r="AI122" s="22">
        <v>109</v>
      </c>
      <c r="AJ122" s="22">
        <v>145</v>
      </c>
      <c r="AK122" s="22">
        <v>109</v>
      </c>
      <c r="AL122" s="22">
        <v>30</v>
      </c>
      <c r="AM122" s="22">
        <v>4.5</v>
      </c>
      <c r="AN122" s="25">
        <v>81</v>
      </c>
      <c r="AO122" s="25">
        <v>55</v>
      </c>
      <c r="AP122" s="26">
        <v>88.36</v>
      </c>
      <c r="AQ122" s="25">
        <v>110.5</v>
      </c>
      <c r="AR122" s="25">
        <v>111.25</v>
      </c>
      <c r="AS122" s="25">
        <v>112</v>
      </c>
      <c r="AT122" s="25"/>
    </row>
    <row r="123" spans="2:46">
      <c r="B123" s="11">
        <v>45418</v>
      </c>
      <c r="C123" s="20">
        <v>83.5</v>
      </c>
      <c r="D123" s="20">
        <v>83.25</v>
      </c>
      <c r="E123" s="22">
        <f t="shared" si="17"/>
        <v>54498.412202380954</v>
      </c>
      <c r="F123" s="23">
        <v>77.7</v>
      </c>
      <c r="G123" s="22">
        <f t="shared" si="16"/>
        <v>50865.18472222222</v>
      </c>
      <c r="H123" s="20">
        <v>57500</v>
      </c>
      <c r="I123" s="24">
        <f t="shared" si="19"/>
        <v>161.68944378831335</v>
      </c>
      <c r="J123" s="20">
        <v>58500</v>
      </c>
      <c r="K123" s="24">
        <f t="shared" si="20"/>
        <v>164.50143411506664</v>
      </c>
      <c r="L123" s="20">
        <v>60500</v>
      </c>
      <c r="M123" s="24">
        <f t="shared" si="21"/>
        <v>170.12541476857319</v>
      </c>
      <c r="N123" s="20">
        <v>81000</v>
      </c>
      <c r="O123" s="24">
        <f t="shared" si="22"/>
        <v>227.77121646701536</v>
      </c>
      <c r="P123" s="22">
        <v>7000</v>
      </c>
      <c r="Q123" s="24">
        <f t="shared" si="23"/>
        <v>19.683932287272931</v>
      </c>
      <c r="R123" s="22">
        <v>6000</v>
      </c>
      <c r="S123" s="24">
        <f t="shared" si="24"/>
        <v>16.871941960519656</v>
      </c>
      <c r="T123" s="22">
        <v>550</v>
      </c>
      <c r="U123" s="24">
        <f t="shared" si="25"/>
        <v>1.5465946797143018</v>
      </c>
      <c r="V123" s="23">
        <v>95.25</v>
      </c>
      <c r="W123" s="22">
        <f t="shared" si="32"/>
        <v>62354.039186507936</v>
      </c>
      <c r="X123" s="24">
        <f t="shared" si="26"/>
        <v>175.33895502645501</v>
      </c>
      <c r="Y123" s="27">
        <v>91</v>
      </c>
      <c r="Z123" s="22">
        <f t="shared" si="29"/>
        <v>59571.837962962956</v>
      </c>
      <c r="AA123" s="24">
        <f t="shared" si="27"/>
        <v>167.51543209876542</v>
      </c>
      <c r="AB123" s="21">
        <v>88</v>
      </c>
      <c r="AC123" s="22">
        <f t="shared" si="30"/>
        <v>57607.931216931225</v>
      </c>
      <c r="AD123" s="24">
        <f t="shared" si="28"/>
        <v>161.99294532627869</v>
      </c>
      <c r="AE123" s="22"/>
      <c r="AF123" s="22"/>
      <c r="AG123" s="22">
        <v>27</v>
      </c>
      <c r="AH123" s="22">
        <v>93</v>
      </c>
      <c r="AI123" s="22">
        <v>113</v>
      </c>
      <c r="AJ123" s="22">
        <v>145</v>
      </c>
      <c r="AK123" s="22">
        <v>109</v>
      </c>
      <c r="AL123" s="22">
        <v>30</v>
      </c>
      <c r="AM123" s="22">
        <v>4.5</v>
      </c>
      <c r="AN123" s="25">
        <v>81</v>
      </c>
      <c r="AO123" s="25">
        <v>55</v>
      </c>
      <c r="AP123" s="26">
        <v>88.36</v>
      </c>
      <c r="AQ123" s="25">
        <v>110.5</v>
      </c>
      <c r="AR123" s="25">
        <v>111.25</v>
      </c>
      <c r="AS123" s="25">
        <v>112</v>
      </c>
      <c r="AT123" s="25"/>
    </row>
    <row r="124" spans="2:46">
      <c r="B124" s="11">
        <v>45425</v>
      </c>
      <c r="C124" s="20">
        <v>83.3</v>
      </c>
      <c r="D124" s="20">
        <v>85.85</v>
      </c>
      <c r="E124" s="22">
        <f t="shared" si="17"/>
        <v>56065.852824074078</v>
      </c>
      <c r="F124" s="23">
        <v>75.959999999999994</v>
      </c>
      <c r="G124" s="22">
        <f t="shared" ref="G124:G187" si="33">C124*$H$4*F124/0.4536/100</f>
        <v>49607.014333333325</v>
      </c>
      <c r="H124" s="20">
        <v>57200</v>
      </c>
      <c r="I124" s="24">
        <f t="shared" si="19"/>
        <v>160.84584669028737</v>
      </c>
      <c r="J124" s="20">
        <v>58200</v>
      </c>
      <c r="K124" s="24">
        <f t="shared" si="20"/>
        <v>163.65783701704066</v>
      </c>
      <c r="L124" s="20">
        <v>60200</v>
      </c>
      <c r="M124" s="24">
        <f t="shared" si="21"/>
        <v>169.28181767054721</v>
      </c>
      <c r="N124" s="20">
        <v>81000</v>
      </c>
      <c r="O124" s="24">
        <f t="shared" si="22"/>
        <v>227.77121646701536</v>
      </c>
      <c r="P124" s="22">
        <v>7000</v>
      </c>
      <c r="Q124" s="24">
        <f t="shared" si="23"/>
        <v>19.683932287272931</v>
      </c>
      <c r="R124" s="22">
        <v>6000</v>
      </c>
      <c r="S124" s="24">
        <f t="shared" si="24"/>
        <v>16.871941960519656</v>
      </c>
      <c r="T124" s="22">
        <v>550</v>
      </c>
      <c r="U124" s="24">
        <f t="shared" si="25"/>
        <v>1.5465946797143018</v>
      </c>
      <c r="V124" s="23">
        <v>95.65</v>
      </c>
      <c r="W124" s="22">
        <f t="shared" si="32"/>
        <v>62465.915231481486</v>
      </c>
      <c r="X124" s="24">
        <f t="shared" si="26"/>
        <v>175.65354938271605</v>
      </c>
      <c r="Y124" s="27">
        <v>91.5</v>
      </c>
      <c r="Z124" s="22">
        <f t="shared" si="29"/>
        <v>59755.684722222228</v>
      </c>
      <c r="AA124" s="24">
        <f t="shared" si="27"/>
        <v>168.03240740740742</v>
      </c>
      <c r="AB124" s="21">
        <v>89.75</v>
      </c>
      <c r="AC124" s="22">
        <f t="shared" si="30"/>
        <v>58612.816435185188</v>
      </c>
      <c r="AD124" s="24">
        <f t="shared" si="28"/>
        <v>164.81867283950618</v>
      </c>
      <c r="AE124" s="22"/>
      <c r="AF124" s="22"/>
      <c r="AG124" s="22">
        <v>27</v>
      </c>
      <c r="AH124" s="22">
        <v>93</v>
      </c>
      <c r="AI124" s="22">
        <v>114</v>
      </c>
      <c r="AJ124" s="22">
        <v>140</v>
      </c>
      <c r="AK124" s="22">
        <v>105</v>
      </c>
      <c r="AL124" s="22">
        <v>30</v>
      </c>
      <c r="AM124" s="22">
        <v>4.5</v>
      </c>
      <c r="AN124" s="25">
        <v>81</v>
      </c>
      <c r="AO124" s="25">
        <v>53.8</v>
      </c>
      <c r="AP124" s="26">
        <v>87.95</v>
      </c>
      <c r="AQ124" s="25">
        <v>110.5</v>
      </c>
      <c r="AR124" s="25">
        <v>111.25</v>
      </c>
      <c r="AS124" s="25">
        <v>112</v>
      </c>
      <c r="AT124" s="25"/>
    </row>
    <row r="125" spans="2:46">
      <c r="B125" s="11">
        <v>45432</v>
      </c>
      <c r="C125" s="20">
        <v>83.31</v>
      </c>
      <c r="D125" s="20">
        <v>85.85</v>
      </c>
      <c r="E125" s="22">
        <f t="shared" si="17"/>
        <v>56072.583418650793</v>
      </c>
      <c r="F125" s="23">
        <v>76.95</v>
      </c>
      <c r="G125" s="22">
        <f t="shared" si="33"/>
        <v>50259.584089285716</v>
      </c>
      <c r="H125" s="20">
        <v>56800</v>
      </c>
      <c r="I125" s="24">
        <f t="shared" si="19"/>
        <v>159.72105055958608</v>
      </c>
      <c r="J125" s="20">
        <v>58500</v>
      </c>
      <c r="K125" s="24">
        <f t="shared" si="20"/>
        <v>164.50143411506664</v>
      </c>
      <c r="L125" s="20">
        <v>60500</v>
      </c>
      <c r="M125" s="24">
        <f t="shared" si="21"/>
        <v>170.12541476857319</v>
      </c>
      <c r="N125" s="20">
        <v>81000</v>
      </c>
      <c r="O125" s="24">
        <f t="shared" si="22"/>
        <v>227.77121646701536</v>
      </c>
      <c r="P125" s="22">
        <v>7000</v>
      </c>
      <c r="Q125" s="24">
        <f t="shared" si="23"/>
        <v>19.683932287272931</v>
      </c>
      <c r="R125" s="22">
        <v>6000</v>
      </c>
      <c r="S125" s="24">
        <f t="shared" si="24"/>
        <v>16.871941960519656</v>
      </c>
      <c r="T125" s="22">
        <v>550</v>
      </c>
      <c r="U125" s="24">
        <f t="shared" si="25"/>
        <v>1.5465946797143018</v>
      </c>
      <c r="V125" s="23">
        <v>97</v>
      </c>
      <c r="W125" s="22">
        <f t="shared" si="32"/>
        <v>63355.16123015873</v>
      </c>
      <c r="X125" s="24">
        <f t="shared" si="26"/>
        <v>178.15410052910053</v>
      </c>
      <c r="Y125" s="27">
        <v>91</v>
      </c>
      <c r="Z125" s="22">
        <f t="shared" si="29"/>
        <v>59436.285277777781</v>
      </c>
      <c r="AA125" s="24">
        <f t="shared" si="27"/>
        <v>167.13425925925927</v>
      </c>
      <c r="AB125" s="21">
        <v>89</v>
      </c>
      <c r="AC125" s="22">
        <f t="shared" si="30"/>
        <v>58129.99329365079</v>
      </c>
      <c r="AD125" s="24">
        <f t="shared" si="28"/>
        <v>163.46097883597884</v>
      </c>
      <c r="AE125" s="22"/>
      <c r="AF125" s="22"/>
      <c r="AG125" s="22">
        <v>27</v>
      </c>
      <c r="AH125" s="22">
        <v>92</v>
      </c>
      <c r="AI125" s="22">
        <v>114</v>
      </c>
      <c r="AJ125" s="22">
        <v>140</v>
      </c>
      <c r="AK125" s="22">
        <v>105</v>
      </c>
      <c r="AL125" s="22">
        <v>27</v>
      </c>
      <c r="AM125" s="22">
        <v>4.5</v>
      </c>
      <c r="AN125" s="25">
        <v>81</v>
      </c>
      <c r="AO125" s="25">
        <v>53.8</v>
      </c>
      <c r="AP125" s="26">
        <v>87.95</v>
      </c>
      <c r="AQ125" s="25">
        <v>104</v>
      </c>
      <c r="AR125" s="25">
        <v>104.75</v>
      </c>
      <c r="AS125" s="25">
        <v>105.5</v>
      </c>
      <c r="AT125" s="25"/>
    </row>
    <row r="126" spans="2:46">
      <c r="B126" s="11">
        <v>45439</v>
      </c>
      <c r="C126" s="20">
        <v>83.18</v>
      </c>
      <c r="D126" s="20">
        <v>90.85</v>
      </c>
      <c r="E126" s="22">
        <f t="shared" si="17"/>
        <v>59245.71968386243</v>
      </c>
      <c r="F126" s="23">
        <v>80.42</v>
      </c>
      <c r="G126" s="22">
        <f t="shared" si="33"/>
        <v>52444.037170899479</v>
      </c>
      <c r="H126" s="20">
        <v>57100</v>
      </c>
      <c r="I126" s="24">
        <f t="shared" si="19"/>
        <v>160.56464765761206</v>
      </c>
      <c r="J126" s="20">
        <v>58700</v>
      </c>
      <c r="K126" s="24">
        <f t="shared" si="20"/>
        <v>165.06383218041731</v>
      </c>
      <c r="L126" s="20">
        <v>60700</v>
      </c>
      <c r="M126" s="24">
        <f t="shared" si="21"/>
        <v>170.68781283392386</v>
      </c>
      <c r="N126" s="20">
        <v>81000</v>
      </c>
      <c r="O126" s="24">
        <f t="shared" si="22"/>
        <v>227.77121646701536</v>
      </c>
      <c r="P126" s="22">
        <v>7000</v>
      </c>
      <c r="Q126" s="24">
        <f t="shared" si="23"/>
        <v>19.683932287272931</v>
      </c>
      <c r="R126" s="22">
        <v>6000</v>
      </c>
      <c r="S126" s="24">
        <f t="shared" si="24"/>
        <v>16.871941960519656</v>
      </c>
      <c r="T126" s="22">
        <v>550</v>
      </c>
      <c r="U126" s="24">
        <f t="shared" si="25"/>
        <v>1.5465946797143018</v>
      </c>
      <c r="V126" s="23">
        <v>100.5</v>
      </c>
      <c r="W126" s="22">
        <f t="shared" si="32"/>
        <v>65538.743293650798</v>
      </c>
      <c r="X126" s="24">
        <f t="shared" si="26"/>
        <v>184.29431216931218</v>
      </c>
      <c r="Y126" s="27">
        <v>97</v>
      </c>
      <c r="Z126" s="22">
        <f t="shared" si="29"/>
        <v>63256.299497354506</v>
      </c>
      <c r="AA126" s="24">
        <f t="shared" si="27"/>
        <v>177.87610229276899</v>
      </c>
      <c r="AB126" s="21">
        <v>93.5</v>
      </c>
      <c r="AC126" s="22">
        <f t="shared" si="30"/>
        <v>60973.855701058208</v>
      </c>
      <c r="AD126" s="24">
        <f t="shared" si="28"/>
        <v>171.45789241622577</v>
      </c>
      <c r="AE126" s="22"/>
      <c r="AF126" s="22"/>
      <c r="AG126" s="22">
        <v>27</v>
      </c>
      <c r="AH126" s="22">
        <v>92</v>
      </c>
      <c r="AI126" s="22">
        <v>114</v>
      </c>
      <c r="AJ126" s="22">
        <v>140</v>
      </c>
      <c r="AK126" s="22">
        <v>105</v>
      </c>
      <c r="AL126" s="22">
        <v>27</v>
      </c>
      <c r="AM126" s="22">
        <v>4.5</v>
      </c>
      <c r="AN126" s="25">
        <v>84.5</v>
      </c>
      <c r="AO126" s="25">
        <v>55</v>
      </c>
      <c r="AP126" s="26">
        <v>91.37</v>
      </c>
      <c r="AQ126" s="25">
        <v>104</v>
      </c>
      <c r="AR126" s="25">
        <v>104.75</v>
      </c>
      <c r="AS126" s="25">
        <v>105.5</v>
      </c>
      <c r="AT126" s="25"/>
    </row>
    <row r="127" spans="2:46">
      <c r="B127" s="11">
        <v>45451</v>
      </c>
      <c r="C127" s="20">
        <v>83.53</v>
      </c>
      <c r="D127" s="20">
        <v>83.65</v>
      </c>
      <c r="E127" s="22">
        <f t="shared" si="17"/>
        <v>54779.940782407408</v>
      </c>
      <c r="F127" s="23">
        <v>73.84</v>
      </c>
      <c r="G127" s="22">
        <f t="shared" si="33"/>
        <v>48355.658426455026</v>
      </c>
      <c r="H127" s="20">
        <v>56200</v>
      </c>
      <c r="I127" s="24">
        <f t="shared" si="19"/>
        <v>158.03385636353411</v>
      </c>
      <c r="J127" s="20">
        <v>58000</v>
      </c>
      <c r="K127" s="24">
        <f t="shared" si="20"/>
        <v>163.09543895169</v>
      </c>
      <c r="L127" s="20">
        <v>60000</v>
      </c>
      <c r="M127" s="24">
        <f t="shared" si="21"/>
        <v>168.71941960519655</v>
      </c>
      <c r="N127" s="20">
        <v>82000</v>
      </c>
      <c r="O127" s="24">
        <f t="shared" si="22"/>
        <v>230.58320679376862</v>
      </c>
      <c r="P127" s="22">
        <v>7000</v>
      </c>
      <c r="Q127" s="24">
        <f t="shared" si="23"/>
        <v>19.683932287272931</v>
      </c>
      <c r="R127" s="22">
        <v>6000</v>
      </c>
      <c r="S127" s="24">
        <f t="shared" si="24"/>
        <v>16.871941960519656</v>
      </c>
      <c r="T127" s="22">
        <v>550</v>
      </c>
      <c r="U127" s="24">
        <f t="shared" si="25"/>
        <v>1.5465946797143018</v>
      </c>
      <c r="V127" s="23">
        <v>101</v>
      </c>
      <c r="W127" s="22">
        <f t="shared" si="32"/>
        <v>66141.948822751336</v>
      </c>
      <c r="X127" s="24">
        <f t="shared" si="26"/>
        <v>185.99052028218699</v>
      </c>
      <c r="Y127" s="27">
        <v>93</v>
      </c>
      <c r="Z127" s="22">
        <f t="shared" si="29"/>
        <v>60902.982579365074</v>
      </c>
      <c r="AA127" s="24">
        <f t="shared" si="27"/>
        <v>171.25859788359787</v>
      </c>
      <c r="AB127" s="21">
        <v>90</v>
      </c>
      <c r="AC127" s="22">
        <f t="shared" si="30"/>
        <v>58938.370238095231</v>
      </c>
      <c r="AD127" s="24">
        <f t="shared" si="28"/>
        <v>165.73412698412696</v>
      </c>
      <c r="AE127" s="22"/>
      <c r="AF127" s="22"/>
      <c r="AG127" s="22">
        <v>24</v>
      </c>
      <c r="AH127" s="22">
        <v>92</v>
      </c>
      <c r="AI127" s="22">
        <v>114</v>
      </c>
      <c r="AJ127" s="22">
        <v>140</v>
      </c>
      <c r="AK127" s="22">
        <v>105</v>
      </c>
      <c r="AL127" s="22">
        <v>24</v>
      </c>
      <c r="AM127" s="22">
        <v>4.5</v>
      </c>
      <c r="AN127" s="25">
        <v>84.5</v>
      </c>
      <c r="AO127" s="25">
        <v>55</v>
      </c>
      <c r="AP127" s="26">
        <v>91.37</v>
      </c>
      <c r="AQ127" s="25">
        <v>106</v>
      </c>
      <c r="AR127" s="25">
        <v>106.75</v>
      </c>
      <c r="AS127" s="25">
        <v>107.5</v>
      </c>
      <c r="AT127" s="25"/>
    </row>
    <row r="128" spans="2:46">
      <c r="B128" s="11">
        <v>45453</v>
      </c>
      <c r="C128" s="20">
        <v>83.5</v>
      </c>
      <c r="D128" s="20">
        <v>84.65</v>
      </c>
      <c r="E128" s="22">
        <f t="shared" si="17"/>
        <v>55414.902017195775</v>
      </c>
      <c r="F128" s="23">
        <v>72.86</v>
      </c>
      <c r="G128" s="22">
        <f t="shared" si="33"/>
        <v>47696.748505291005</v>
      </c>
      <c r="H128" s="20">
        <v>56200</v>
      </c>
      <c r="I128" s="24">
        <f t="shared" si="19"/>
        <v>158.03385636353411</v>
      </c>
      <c r="J128" s="20">
        <v>57800</v>
      </c>
      <c r="K128" s="24">
        <f t="shared" si="20"/>
        <v>162.53304088633934</v>
      </c>
      <c r="L128" s="20">
        <v>59800</v>
      </c>
      <c r="M128" s="24">
        <f t="shared" si="21"/>
        <v>168.15702153984591</v>
      </c>
      <c r="N128" s="20">
        <v>83500</v>
      </c>
      <c r="O128" s="24">
        <f t="shared" si="22"/>
        <v>234.80119228389853</v>
      </c>
      <c r="P128" s="22">
        <v>6500</v>
      </c>
      <c r="Q128" s="24">
        <f t="shared" si="23"/>
        <v>18.277937123896294</v>
      </c>
      <c r="R128" s="22">
        <v>6000</v>
      </c>
      <c r="S128" s="24">
        <f t="shared" si="24"/>
        <v>16.871941960519656</v>
      </c>
      <c r="T128" s="22">
        <v>550</v>
      </c>
      <c r="U128" s="24">
        <f t="shared" si="25"/>
        <v>1.5465946797143018</v>
      </c>
      <c r="V128" s="23">
        <v>97</v>
      </c>
      <c r="W128" s="22">
        <f t="shared" si="32"/>
        <v>63499.651455026455</v>
      </c>
      <c r="X128" s="24">
        <f t="shared" si="26"/>
        <v>178.56040564373896</v>
      </c>
      <c r="Y128" s="27">
        <v>91</v>
      </c>
      <c r="Z128" s="22">
        <f t="shared" si="29"/>
        <v>59571.837962962956</v>
      </c>
      <c r="AA128" s="24">
        <f t="shared" si="27"/>
        <v>167.51543209876542</v>
      </c>
      <c r="AB128" s="21">
        <v>88</v>
      </c>
      <c r="AC128" s="22">
        <f t="shared" si="30"/>
        <v>57607.931216931225</v>
      </c>
      <c r="AD128" s="24">
        <f t="shared" si="28"/>
        <v>161.99294532627869</v>
      </c>
      <c r="AE128" s="22"/>
      <c r="AF128" s="22"/>
      <c r="AG128" s="22">
        <v>24</v>
      </c>
      <c r="AH128" s="22">
        <v>92</v>
      </c>
      <c r="AI128" s="22">
        <v>114</v>
      </c>
      <c r="AJ128" s="22">
        <v>136</v>
      </c>
      <c r="AK128" s="22">
        <v>106</v>
      </c>
      <c r="AL128" s="22">
        <v>24</v>
      </c>
      <c r="AM128" s="22">
        <v>4.5</v>
      </c>
      <c r="AN128" s="25">
        <v>84.5</v>
      </c>
      <c r="AO128" s="25">
        <v>55</v>
      </c>
      <c r="AP128" s="26">
        <v>91.37</v>
      </c>
      <c r="AQ128" s="25">
        <v>107</v>
      </c>
      <c r="AR128" s="25">
        <v>107.75</v>
      </c>
      <c r="AS128" s="25">
        <v>108.5</v>
      </c>
      <c r="AT128" s="25"/>
    </row>
    <row r="129" spans="2:46">
      <c r="B129" s="11">
        <v>45461</v>
      </c>
      <c r="C129" s="20">
        <v>83.49</v>
      </c>
      <c r="D129" s="20">
        <v>81.849999999999994</v>
      </c>
      <c r="E129" s="22">
        <f t="shared" si="17"/>
        <v>53575.505390873004</v>
      </c>
      <c r="F129" s="23">
        <v>71.42</v>
      </c>
      <c r="G129" s="22">
        <f t="shared" si="33"/>
        <v>46748.473976984125</v>
      </c>
      <c r="H129" s="20">
        <v>56200</v>
      </c>
      <c r="I129" s="24">
        <f t="shared" si="19"/>
        <v>158.03385636353411</v>
      </c>
      <c r="J129" s="20">
        <v>57800</v>
      </c>
      <c r="K129" s="24">
        <f t="shared" si="20"/>
        <v>162.53304088633934</v>
      </c>
      <c r="L129" s="20">
        <v>59800</v>
      </c>
      <c r="M129" s="24">
        <f t="shared" si="21"/>
        <v>168.15702153984591</v>
      </c>
      <c r="N129" s="20">
        <v>83500</v>
      </c>
      <c r="O129" s="24">
        <f t="shared" si="22"/>
        <v>234.80119228389853</v>
      </c>
      <c r="P129" s="22">
        <v>6500</v>
      </c>
      <c r="Q129" s="24">
        <f t="shared" si="23"/>
        <v>18.277937123896294</v>
      </c>
      <c r="R129" s="22">
        <v>6000</v>
      </c>
      <c r="S129" s="24">
        <f t="shared" si="24"/>
        <v>16.871941960519656</v>
      </c>
      <c r="T129" s="22">
        <v>550</v>
      </c>
      <c r="U129" s="24">
        <f t="shared" si="25"/>
        <v>1.5465946797143018</v>
      </c>
      <c r="V129" s="23">
        <v>95.4</v>
      </c>
      <c r="W129" s="22">
        <f t="shared" si="32"/>
        <v>62444.755214285717</v>
      </c>
      <c r="X129" s="24">
        <f t="shared" si="26"/>
        <v>175.59404761904761</v>
      </c>
      <c r="Y129" s="27">
        <v>90</v>
      </c>
      <c r="Z129" s="22">
        <f t="shared" si="29"/>
        <v>58910.146428571417</v>
      </c>
      <c r="AA129" s="24">
        <f t="shared" si="27"/>
        <v>165.65476190476187</v>
      </c>
      <c r="AB129" s="21">
        <v>86.5</v>
      </c>
      <c r="AC129" s="22">
        <f t="shared" si="30"/>
        <v>56619.196289682535</v>
      </c>
      <c r="AD129" s="24">
        <f t="shared" si="28"/>
        <v>159.21263227513225</v>
      </c>
      <c r="AE129" s="22"/>
      <c r="AF129" s="22"/>
      <c r="AG129" s="22">
        <v>24</v>
      </c>
      <c r="AH129" s="22">
        <v>92</v>
      </c>
      <c r="AI129" s="22">
        <v>114</v>
      </c>
      <c r="AJ129" s="22">
        <v>136</v>
      </c>
      <c r="AK129" s="22">
        <v>106</v>
      </c>
      <c r="AL129" s="22">
        <v>24</v>
      </c>
      <c r="AM129" s="22">
        <v>4.5</v>
      </c>
      <c r="AN129" s="25">
        <v>84.5</v>
      </c>
      <c r="AO129" s="25">
        <v>55</v>
      </c>
      <c r="AP129" s="26">
        <v>91.37</v>
      </c>
      <c r="AQ129" s="25">
        <v>109.5</v>
      </c>
      <c r="AR129" s="25">
        <v>110.25</v>
      </c>
      <c r="AS129" s="25">
        <v>111</v>
      </c>
      <c r="AT129" s="25"/>
    </row>
    <row r="130" spans="2:46">
      <c r="B130" s="11">
        <v>45467</v>
      </c>
      <c r="C130" s="20">
        <v>83.47</v>
      </c>
      <c r="D130" s="20">
        <v>82.7</v>
      </c>
      <c r="E130" s="22">
        <f t="shared" si="17"/>
        <v>54118.911723544967</v>
      </c>
      <c r="F130" s="23">
        <v>73.239999999999995</v>
      </c>
      <c r="G130" s="22">
        <f t="shared" si="33"/>
        <v>47928.284094708994</v>
      </c>
      <c r="H130" s="20">
        <v>56400</v>
      </c>
      <c r="I130" s="24">
        <f t="shared" si="19"/>
        <v>158.59625442888478</v>
      </c>
      <c r="J130" s="20">
        <v>57500</v>
      </c>
      <c r="K130" s="24">
        <f t="shared" si="20"/>
        <v>161.68944378831335</v>
      </c>
      <c r="L130" s="20">
        <v>59500</v>
      </c>
      <c r="M130" s="24">
        <f t="shared" si="21"/>
        <v>167.3134244418199</v>
      </c>
      <c r="N130" s="20">
        <v>83000</v>
      </c>
      <c r="O130" s="24">
        <f t="shared" si="22"/>
        <v>233.39519712052191</v>
      </c>
      <c r="P130" s="22">
        <v>6500</v>
      </c>
      <c r="Q130" s="24">
        <f t="shared" si="23"/>
        <v>18.277937123896294</v>
      </c>
      <c r="R130" s="22">
        <v>6000</v>
      </c>
      <c r="S130" s="24">
        <f t="shared" si="24"/>
        <v>16.871941960519656</v>
      </c>
      <c r="T130" s="22">
        <v>550</v>
      </c>
      <c r="U130" s="24">
        <f t="shared" si="25"/>
        <v>1.5465946797143018</v>
      </c>
      <c r="V130" s="23">
        <v>95</v>
      </c>
      <c r="W130" s="22">
        <f t="shared" si="32"/>
        <v>62168.036441798933</v>
      </c>
      <c r="X130" s="24">
        <f t="shared" si="26"/>
        <v>174.81591710758374</v>
      </c>
      <c r="Y130" s="27">
        <v>89.25</v>
      </c>
      <c r="Z130" s="22">
        <f t="shared" si="29"/>
        <v>58405.234236111108</v>
      </c>
      <c r="AA130" s="24">
        <f t="shared" si="27"/>
        <v>164.2349537037037</v>
      </c>
      <c r="AB130" s="21">
        <v>86.75</v>
      </c>
      <c r="AC130" s="22">
        <f t="shared" si="30"/>
        <v>56769.2332771164</v>
      </c>
      <c r="AD130" s="24">
        <f t="shared" si="28"/>
        <v>159.63453483245149</v>
      </c>
      <c r="AE130" s="22"/>
      <c r="AF130" s="22"/>
      <c r="AG130" s="22">
        <v>24</v>
      </c>
      <c r="AH130" s="22">
        <v>92</v>
      </c>
      <c r="AI130" s="22">
        <v>114</v>
      </c>
      <c r="AJ130" s="22">
        <v>136</v>
      </c>
      <c r="AK130" s="22">
        <v>106</v>
      </c>
      <c r="AL130" s="22">
        <v>24</v>
      </c>
      <c r="AM130" s="22">
        <v>4.5</v>
      </c>
      <c r="AN130" s="25">
        <v>86</v>
      </c>
      <c r="AO130" s="25">
        <v>54.6</v>
      </c>
      <c r="AP130" s="26">
        <v>92.52</v>
      </c>
      <c r="AQ130" s="25">
        <v>109.5</v>
      </c>
      <c r="AR130" s="25">
        <v>110.25</v>
      </c>
      <c r="AS130" s="25">
        <v>111</v>
      </c>
      <c r="AT130" s="25"/>
    </row>
    <row r="131" spans="2:46">
      <c r="B131" s="11">
        <v>45478</v>
      </c>
      <c r="C131" s="20">
        <v>83.49</v>
      </c>
      <c r="D131" s="20">
        <v>82.75</v>
      </c>
      <c r="E131" s="22">
        <f t="shared" si="17"/>
        <v>54164.60685515873</v>
      </c>
      <c r="F131" s="23">
        <v>71.39</v>
      </c>
      <c r="G131" s="22">
        <f t="shared" si="33"/>
        <v>46728.837261507928</v>
      </c>
      <c r="H131" s="20">
        <v>58000</v>
      </c>
      <c r="I131" s="24">
        <f t="shared" si="19"/>
        <v>163.09543895169</v>
      </c>
      <c r="J131" s="20">
        <v>59000</v>
      </c>
      <c r="K131" s="24">
        <f t="shared" si="20"/>
        <v>165.90742927844329</v>
      </c>
      <c r="L131" s="20">
        <v>61000</v>
      </c>
      <c r="M131" s="24">
        <f t="shared" si="21"/>
        <v>171.53140993194984</v>
      </c>
      <c r="N131" s="20">
        <v>83000</v>
      </c>
      <c r="O131" s="24">
        <f t="shared" si="22"/>
        <v>233.39519712052191</v>
      </c>
      <c r="P131" s="22">
        <v>6500</v>
      </c>
      <c r="Q131" s="24">
        <f t="shared" si="23"/>
        <v>18.277937123896294</v>
      </c>
      <c r="R131" s="22">
        <v>6000</v>
      </c>
      <c r="S131" s="24">
        <f t="shared" si="24"/>
        <v>16.871941960519656</v>
      </c>
      <c r="T131" s="22">
        <v>550</v>
      </c>
      <c r="U131" s="24">
        <f t="shared" si="25"/>
        <v>1.5465946797143018</v>
      </c>
      <c r="V131" s="23">
        <v>96.95</v>
      </c>
      <c r="W131" s="22">
        <f t="shared" si="32"/>
        <v>63459.318847222225</v>
      </c>
      <c r="X131" s="24">
        <f t="shared" si="26"/>
        <v>178.44699074074074</v>
      </c>
      <c r="Y131" s="27">
        <v>91.15</v>
      </c>
      <c r="Z131" s="22">
        <f t="shared" si="29"/>
        <v>59662.887188492066</v>
      </c>
      <c r="AA131" s="24">
        <f t="shared" si="27"/>
        <v>167.77146164021164</v>
      </c>
      <c r="AB131" s="21">
        <v>86.75</v>
      </c>
      <c r="AC131" s="22">
        <f t="shared" si="30"/>
        <v>56782.835585317465</v>
      </c>
      <c r="AD131" s="24">
        <f t="shared" si="28"/>
        <v>159.67278439153441</v>
      </c>
      <c r="AE131" s="22"/>
      <c r="AF131" s="22"/>
      <c r="AG131" s="22">
        <v>24</v>
      </c>
      <c r="AH131" s="22">
        <v>92</v>
      </c>
      <c r="AI131" s="22">
        <v>114</v>
      </c>
      <c r="AJ131" s="22">
        <v>136</v>
      </c>
      <c r="AK131" s="22">
        <v>106</v>
      </c>
      <c r="AL131" s="22">
        <v>24</v>
      </c>
      <c r="AM131" s="22">
        <v>4.5</v>
      </c>
      <c r="AN131" s="25">
        <v>86.7</v>
      </c>
      <c r="AO131" s="25">
        <v>54.6</v>
      </c>
      <c r="AP131" s="26">
        <v>93.13</v>
      </c>
      <c r="AQ131" s="25">
        <v>112</v>
      </c>
      <c r="AR131" s="25">
        <v>112.75</v>
      </c>
      <c r="AS131" s="25">
        <v>113.5</v>
      </c>
      <c r="AT131" s="25"/>
    </row>
    <row r="132" spans="2:46">
      <c r="B132" s="11">
        <v>45481</v>
      </c>
      <c r="C132" s="20">
        <v>83.51</v>
      </c>
      <c r="D132" s="20">
        <v>82.72</v>
      </c>
      <c r="E132" s="22">
        <f t="shared" si="17"/>
        <v>54157.940548148152</v>
      </c>
      <c r="F132" s="23">
        <v>71.63</v>
      </c>
      <c r="G132" s="22">
        <f t="shared" si="33"/>
        <v>46897.162493518525</v>
      </c>
      <c r="H132" s="20">
        <v>58200</v>
      </c>
      <c r="I132" s="24">
        <f t="shared" si="19"/>
        <v>163.65783701704066</v>
      </c>
      <c r="J132" s="20">
        <v>59500</v>
      </c>
      <c r="K132" s="24">
        <f t="shared" si="20"/>
        <v>167.3134244418199</v>
      </c>
      <c r="L132" s="20">
        <v>61500</v>
      </c>
      <c r="M132" s="24">
        <f t="shared" si="21"/>
        <v>172.93740509532648</v>
      </c>
      <c r="N132" s="20">
        <v>83500</v>
      </c>
      <c r="O132" s="24">
        <f t="shared" si="22"/>
        <v>234.80119228389853</v>
      </c>
      <c r="P132" s="22">
        <v>6500</v>
      </c>
      <c r="Q132" s="24">
        <f t="shared" si="23"/>
        <v>18.277937123896294</v>
      </c>
      <c r="R132" s="22">
        <v>6000</v>
      </c>
      <c r="S132" s="24">
        <f t="shared" si="24"/>
        <v>16.871941960519656</v>
      </c>
      <c r="T132" s="22">
        <v>550</v>
      </c>
      <c r="U132" s="24">
        <f t="shared" si="25"/>
        <v>1.5465946797143018</v>
      </c>
      <c r="V132" s="23">
        <v>95</v>
      </c>
      <c r="W132" s="22">
        <f t="shared" si="32"/>
        <v>62197.828240740753</v>
      </c>
      <c r="X132" s="24">
        <f t="shared" si="26"/>
        <v>174.89969135802471</v>
      </c>
      <c r="Y132" s="27">
        <v>95</v>
      </c>
      <c r="Z132" s="22">
        <f t="shared" si="29"/>
        <v>62197.828240740753</v>
      </c>
      <c r="AA132" s="24">
        <f t="shared" si="27"/>
        <v>174.89969135802471</v>
      </c>
      <c r="AB132" s="21">
        <v>86</v>
      </c>
      <c r="AC132" s="22">
        <f t="shared" si="30"/>
        <v>56305.402407407419</v>
      </c>
      <c r="AD132" s="24">
        <f t="shared" si="28"/>
        <v>158.33024691358028</v>
      </c>
      <c r="AE132" s="22"/>
      <c r="AF132" s="22"/>
      <c r="AG132" s="22">
        <v>24</v>
      </c>
      <c r="AH132" s="22">
        <v>95</v>
      </c>
      <c r="AI132" s="22">
        <v>114</v>
      </c>
      <c r="AJ132" s="22">
        <v>136</v>
      </c>
      <c r="AK132" s="22">
        <v>106</v>
      </c>
      <c r="AL132" s="22">
        <v>24</v>
      </c>
      <c r="AM132" s="22">
        <v>4.5</v>
      </c>
      <c r="AN132" s="25">
        <v>86.7</v>
      </c>
      <c r="AO132" s="25">
        <v>54.6</v>
      </c>
      <c r="AP132" s="26">
        <v>93.13</v>
      </c>
      <c r="AQ132" s="25">
        <v>112</v>
      </c>
      <c r="AR132" s="25">
        <v>112.75</v>
      </c>
      <c r="AS132" s="25">
        <v>113.5</v>
      </c>
      <c r="AT132" s="25"/>
    </row>
    <row r="133" spans="2:46">
      <c r="B133" s="11">
        <v>45488</v>
      </c>
      <c r="C133" s="20">
        <v>83.62</v>
      </c>
      <c r="D133" s="20">
        <v>81.5</v>
      </c>
      <c r="E133" s="22">
        <f t="shared" si="17"/>
        <v>53429.47461640212</v>
      </c>
      <c r="F133" s="23">
        <v>71.78</v>
      </c>
      <c r="G133" s="22">
        <f t="shared" si="33"/>
        <v>47057.272244973545</v>
      </c>
      <c r="H133" s="20">
        <v>58000</v>
      </c>
      <c r="I133" s="24">
        <f t="shared" si="19"/>
        <v>163.09543895169</v>
      </c>
      <c r="J133" s="20">
        <v>59000</v>
      </c>
      <c r="K133" s="24">
        <f t="shared" si="20"/>
        <v>165.90742927844329</v>
      </c>
      <c r="L133" s="20">
        <v>61000</v>
      </c>
      <c r="M133" s="24">
        <f t="shared" si="21"/>
        <v>171.53140993194984</v>
      </c>
      <c r="N133" s="20">
        <v>84500</v>
      </c>
      <c r="O133" s="24">
        <f t="shared" si="22"/>
        <v>237.61318261065182</v>
      </c>
      <c r="P133" s="22">
        <v>6500</v>
      </c>
      <c r="Q133" s="24">
        <f t="shared" si="23"/>
        <v>18.277937123896294</v>
      </c>
      <c r="R133" s="22">
        <v>6000</v>
      </c>
      <c r="S133" s="24">
        <f t="shared" si="24"/>
        <v>16.871941960519656</v>
      </c>
      <c r="T133" s="22">
        <v>500</v>
      </c>
      <c r="U133" s="24">
        <f t="shared" si="25"/>
        <v>1.4059951633766379</v>
      </c>
      <c r="V133" s="23">
        <v>93.5</v>
      </c>
      <c r="W133" s="22">
        <f t="shared" si="32"/>
        <v>61296.391124338632</v>
      </c>
      <c r="X133" s="24">
        <f t="shared" si="26"/>
        <v>172.3648589065256</v>
      </c>
      <c r="Y133" s="27">
        <v>88.5</v>
      </c>
      <c r="Z133" s="22">
        <f t="shared" si="29"/>
        <v>58018.509246031754</v>
      </c>
      <c r="AA133" s="24">
        <f t="shared" si="27"/>
        <v>163.14748677248679</v>
      </c>
      <c r="AB133" s="21">
        <v>86.25</v>
      </c>
      <c r="AC133" s="22">
        <f t="shared" si="30"/>
        <v>56543.462400793651</v>
      </c>
      <c r="AD133" s="24">
        <f t="shared" si="28"/>
        <v>158.99966931216932</v>
      </c>
      <c r="AE133" s="22"/>
      <c r="AF133" s="22"/>
      <c r="AG133" s="22">
        <v>24</v>
      </c>
      <c r="AH133" s="22">
        <v>95</v>
      </c>
      <c r="AI133" s="22">
        <v>114</v>
      </c>
      <c r="AJ133" s="22">
        <v>136</v>
      </c>
      <c r="AK133" s="22">
        <v>106</v>
      </c>
      <c r="AL133" s="22">
        <v>24</v>
      </c>
      <c r="AM133" s="22">
        <v>4.5</v>
      </c>
      <c r="AN133" s="25">
        <v>86.3</v>
      </c>
      <c r="AO133" s="25">
        <v>55.6</v>
      </c>
      <c r="AP133" s="26">
        <v>93.12</v>
      </c>
      <c r="AQ133" s="25">
        <v>112</v>
      </c>
      <c r="AR133" s="25">
        <v>112.75</v>
      </c>
      <c r="AS133" s="25">
        <v>113.5</v>
      </c>
      <c r="AT133" s="25"/>
    </row>
    <row r="134" spans="2:46">
      <c r="B134" s="11">
        <v>45502</v>
      </c>
      <c r="C134" s="20">
        <v>83.73</v>
      </c>
      <c r="D134" s="20">
        <v>79.3</v>
      </c>
      <c r="E134" s="22">
        <f t="shared" si="17"/>
        <v>52055.594448412696</v>
      </c>
      <c r="F134" s="23">
        <v>69.17</v>
      </c>
      <c r="G134" s="22">
        <f t="shared" si="33"/>
        <v>45405.86970992064</v>
      </c>
      <c r="H134" s="20">
        <v>57000</v>
      </c>
      <c r="I134" s="24">
        <f t="shared" si="19"/>
        <v>160.28344862493674</v>
      </c>
      <c r="J134" s="20">
        <v>57300</v>
      </c>
      <c r="K134" s="24">
        <f t="shared" si="20"/>
        <v>161.12704572296272</v>
      </c>
      <c r="L134" s="20">
        <v>59300</v>
      </c>
      <c r="M134" s="24">
        <f t="shared" si="21"/>
        <v>166.75102637646927</v>
      </c>
      <c r="N134" s="20">
        <v>84000</v>
      </c>
      <c r="O134" s="24">
        <f t="shared" si="22"/>
        <v>236.20718744727517</v>
      </c>
      <c r="P134" s="22">
        <v>7000</v>
      </c>
      <c r="Q134" s="24">
        <f t="shared" si="23"/>
        <v>19.683932287272931</v>
      </c>
      <c r="R134" s="22">
        <v>6000</v>
      </c>
      <c r="S134" s="24">
        <f t="shared" si="24"/>
        <v>16.871941960519656</v>
      </c>
      <c r="T134" s="22">
        <v>500</v>
      </c>
      <c r="U134" s="24">
        <f t="shared" si="25"/>
        <v>1.4059951633766379</v>
      </c>
      <c r="V134" s="23">
        <v>86.5</v>
      </c>
      <c r="W134" s="22">
        <f t="shared" si="32"/>
        <v>56781.953591269841</v>
      </c>
      <c r="X134" s="24">
        <f t="shared" si="26"/>
        <v>159.67030423280423</v>
      </c>
      <c r="Y134" s="27">
        <v>84.5</v>
      </c>
      <c r="Z134" s="22">
        <f t="shared" si="29"/>
        <v>55469.076051587304</v>
      </c>
      <c r="AA134" s="24">
        <f t="shared" si="27"/>
        <v>155.97850529100529</v>
      </c>
      <c r="AB134" s="21">
        <v>87.1</v>
      </c>
      <c r="AC134" s="22">
        <f t="shared" si="30"/>
        <v>57175.816853174605</v>
      </c>
      <c r="AD134" s="24">
        <f t="shared" si="28"/>
        <v>160.77784391534391</v>
      </c>
      <c r="AE134" s="22"/>
      <c r="AF134" s="22"/>
      <c r="AG134" s="22">
        <v>25.5</v>
      </c>
      <c r="AH134" s="22">
        <v>97.5</v>
      </c>
      <c r="AI134" s="22">
        <v>109.5</v>
      </c>
      <c r="AJ134" s="22">
        <v>135.5</v>
      </c>
      <c r="AK134" s="22">
        <v>110</v>
      </c>
      <c r="AL134" s="22">
        <v>25</v>
      </c>
      <c r="AM134" s="22">
        <v>4.5</v>
      </c>
      <c r="AN134" s="25">
        <v>84.7</v>
      </c>
      <c r="AO134" s="25">
        <v>57.4</v>
      </c>
      <c r="AP134" s="26">
        <v>93.12</v>
      </c>
      <c r="AQ134" s="25">
        <v>112</v>
      </c>
      <c r="AR134" s="25">
        <v>112.75</v>
      </c>
      <c r="AS134" s="25">
        <v>113.5</v>
      </c>
      <c r="AT134" s="25"/>
    </row>
    <row r="135" spans="2:46">
      <c r="B135" s="11">
        <v>45509</v>
      </c>
      <c r="C135" s="20">
        <v>84.15</v>
      </c>
      <c r="D135" s="20">
        <v>79.349999999999994</v>
      </c>
      <c r="E135" s="22">
        <f t="shared" ref="E135:E192" si="34">C135*$H$4*D135/0.4536/100</f>
        <v>52349.698303571429</v>
      </c>
      <c r="F135" s="23">
        <v>66.98</v>
      </c>
      <c r="G135" s="22">
        <f t="shared" si="33"/>
        <v>44188.819059523819</v>
      </c>
      <c r="H135" s="20">
        <v>57000</v>
      </c>
      <c r="I135" s="24">
        <f t="shared" si="19"/>
        <v>160.28344862493674</v>
      </c>
      <c r="J135" s="20">
        <v>57500</v>
      </c>
      <c r="K135" s="24">
        <f t="shared" si="20"/>
        <v>161.68944378831335</v>
      </c>
      <c r="L135" s="20">
        <v>59500</v>
      </c>
      <c r="M135" s="24">
        <f t="shared" si="21"/>
        <v>167.3134244418199</v>
      </c>
      <c r="N135" s="20">
        <v>86000</v>
      </c>
      <c r="O135" s="24">
        <f t="shared" si="22"/>
        <v>241.83116810078172</v>
      </c>
      <c r="P135" s="22">
        <v>7000</v>
      </c>
      <c r="Q135" s="24">
        <f t="shared" si="23"/>
        <v>19.683932287272931</v>
      </c>
      <c r="R135" s="22">
        <v>6000</v>
      </c>
      <c r="S135" s="24">
        <f t="shared" si="24"/>
        <v>16.871941960519656</v>
      </c>
      <c r="T135" s="22">
        <v>500</v>
      </c>
      <c r="U135" s="24">
        <f t="shared" si="25"/>
        <v>1.4059951633766379</v>
      </c>
      <c r="V135" s="23">
        <v>86.5</v>
      </c>
      <c r="W135" s="22">
        <f t="shared" si="32"/>
        <v>57066.778869047623</v>
      </c>
      <c r="X135" s="24">
        <f t="shared" si="26"/>
        <v>160.47123015873018</v>
      </c>
      <c r="Y135" s="27">
        <v>84.6</v>
      </c>
      <c r="Z135" s="22">
        <f t="shared" si="29"/>
        <v>55813.288928571434</v>
      </c>
      <c r="AA135" s="24">
        <f t="shared" si="27"/>
        <v>156.94642857142858</v>
      </c>
      <c r="AB135" s="21">
        <v>86.9</v>
      </c>
      <c r="AC135" s="22">
        <f t="shared" si="30"/>
        <v>57330.67148809525</v>
      </c>
      <c r="AD135" s="24">
        <f t="shared" si="28"/>
        <v>161.21329365079367</v>
      </c>
      <c r="AE135" s="22"/>
      <c r="AF135" s="22"/>
      <c r="AG135" s="22">
        <v>25.5</v>
      </c>
      <c r="AH135" s="22">
        <v>97.5</v>
      </c>
      <c r="AI135" s="22">
        <v>109.5</v>
      </c>
      <c r="AJ135" s="22">
        <v>135.5</v>
      </c>
      <c r="AK135" s="22">
        <v>110</v>
      </c>
      <c r="AL135" s="22">
        <v>25</v>
      </c>
      <c r="AM135" s="22">
        <v>4.5</v>
      </c>
      <c r="AN135" s="25">
        <v>56.8</v>
      </c>
      <c r="AO135" s="25">
        <v>83.9</v>
      </c>
      <c r="AP135" s="26">
        <v>91.47</v>
      </c>
      <c r="AQ135" s="25">
        <v>108</v>
      </c>
      <c r="AR135" s="25">
        <v>108.75</v>
      </c>
      <c r="AS135" s="25">
        <v>109.5</v>
      </c>
      <c r="AT135" s="25"/>
    </row>
    <row r="136" spans="2:46">
      <c r="B136" s="11">
        <v>45516</v>
      </c>
      <c r="C136" s="20">
        <v>83.96</v>
      </c>
      <c r="D136" s="20">
        <v>78.7</v>
      </c>
      <c r="E136" s="22">
        <f t="shared" si="34"/>
        <v>51803.642068783061</v>
      </c>
      <c r="F136" s="23">
        <v>68.87</v>
      </c>
      <c r="G136" s="22">
        <f t="shared" si="33"/>
        <v>45333.123624867723</v>
      </c>
      <c r="H136" s="20">
        <v>57200</v>
      </c>
      <c r="I136" s="24">
        <f t="shared" ref="I136:I192" si="35">H136/355.62</f>
        <v>160.84584669028737</v>
      </c>
      <c r="J136" s="20">
        <v>57800</v>
      </c>
      <c r="K136" s="24">
        <f t="shared" ref="K136:K192" si="36">J136/355.62</f>
        <v>162.53304088633934</v>
      </c>
      <c r="L136" s="20">
        <v>59800</v>
      </c>
      <c r="M136" s="24">
        <f t="shared" ref="M136:M192" si="37">L136/355.62</f>
        <v>168.15702153984591</v>
      </c>
      <c r="N136" s="20">
        <v>85000</v>
      </c>
      <c r="O136" s="24">
        <f t="shared" ref="O136:O192" si="38">N136/355.62</f>
        <v>239.01917777402846</v>
      </c>
      <c r="P136" s="22">
        <v>7500</v>
      </c>
      <c r="Q136" s="24">
        <f t="shared" ref="Q136:Q192" si="39">P136/355.62</f>
        <v>21.089927450649569</v>
      </c>
      <c r="R136" s="22">
        <v>6000</v>
      </c>
      <c r="S136" s="24">
        <f t="shared" ref="S136:S192" si="40">R136/355.62</f>
        <v>16.871941960519656</v>
      </c>
      <c r="T136" s="22">
        <v>500</v>
      </c>
      <c r="U136" s="24">
        <f t="shared" ref="U136:U192" si="41">T136/355.62</f>
        <v>1.4059951633766379</v>
      </c>
      <c r="V136" s="23">
        <v>88</v>
      </c>
      <c r="W136" s="22">
        <f t="shared" si="32"/>
        <v>57925.292275132269</v>
      </c>
      <c r="X136" s="24">
        <f t="shared" ref="X136:X192" si="42">W136/355.62</f>
        <v>162.8853615520282</v>
      </c>
      <c r="Y136" s="27">
        <v>84.6</v>
      </c>
      <c r="Z136" s="22">
        <f t="shared" si="29"/>
        <v>55687.269619047613</v>
      </c>
      <c r="AA136" s="24">
        <f t="shared" ref="AA136:AA192" si="43">Z136/355.62</f>
        <v>156.59206349206346</v>
      </c>
      <c r="AB136" s="21">
        <v>86.25</v>
      </c>
      <c r="AC136" s="22">
        <f t="shared" si="30"/>
        <v>56773.368849206345</v>
      </c>
      <c r="AD136" s="24">
        <f t="shared" ref="AD136:AD192" si="44">AC136/355.62</f>
        <v>159.646164021164</v>
      </c>
      <c r="AE136" s="22"/>
      <c r="AF136" s="22"/>
      <c r="AG136" s="22">
        <v>25.5</v>
      </c>
      <c r="AH136" s="22">
        <v>97.5</v>
      </c>
      <c r="AI136" s="22">
        <v>109.5</v>
      </c>
      <c r="AJ136" s="22">
        <v>135.5</v>
      </c>
      <c r="AK136" s="22">
        <v>110</v>
      </c>
      <c r="AL136" s="22">
        <v>25</v>
      </c>
      <c r="AM136" s="22">
        <v>5</v>
      </c>
      <c r="AN136" s="25">
        <v>82.6</v>
      </c>
      <c r="AO136" s="25">
        <v>56.8</v>
      </c>
      <c r="AP136" s="26">
        <v>90.35</v>
      </c>
      <c r="AQ136" s="25">
        <v>108</v>
      </c>
      <c r="AR136" s="25">
        <v>108.75</v>
      </c>
      <c r="AS136" s="25">
        <v>109.5</v>
      </c>
      <c r="AT136" s="25"/>
    </row>
    <row r="137" spans="2:46">
      <c r="B137" s="11">
        <v>45523</v>
      </c>
      <c r="C137" s="20">
        <v>83.94</v>
      </c>
      <c r="D137" s="20">
        <v>80</v>
      </c>
      <c r="E137" s="22">
        <f t="shared" si="34"/>
        <v>52646.812698412708</v>
      </c>
      <c r="F137" s="23">
        <v>70.3</v>
      </c>
      <c r="G137" s="22">
        <f t="shared" si="33"/>
        <v>46263.386658730153</v>
      </c>
      <c r="H137" s="20">
        <v>57000</v>
      </c>
      <c r="I137" s="24">
        <f t="shared" si="35"/>
        <v>160.28344862493674</v>
      </c>
      <c r="J137" s="20">
        <v>57800</v>
      </c>
      <c r="K137" s="24">
        <f t="shared" si="36"/>
        <v>162.53304088633934</v>
      </c>
      <c r="L137" s="20">
        <v>59800</v>
      </c>
      <c r="M137" s="24">
        <f t="shared" si="37"/>
        <v>168.15702153984591</v>
      </c>
      <c r="N137" s="20">
        <v>85000</v>
      </c>
      <c r="O137" s="24">
        <f t="shared" si="38"/>
        <v>239.01917777402846</v>
      </c>
      <c r="P137" s="22">
        <v>7500</v>
      </c>
      <c r="Q137" s="24">
        <f t="shared" si="39"/>
        <v>21.089927450649569</v>
      </c>
      <c r="R137" s="22">
        <v>6000</v>
      </c>
      <c r="S137" s="24">
        <f t="shared" si="40"/>
        <v>16.871941960519656</v>
      </c>
      <c r="T137" s="22">
        <v>500</v>
      </c>
      <c r="U137" s="24">
        <f t="shared" si="41"/>
        <v>1.4059951633766379</v>
      </c>
      <c r="V137" s="23">
        <v>87.5</v>
      </c>
      <c r="W137" s="22">
        <f t="shared" si="32"/>
        <v>57582.451388888891</v>
      </c>
      <c r="X137" s="24">
        <f t="shared" si="42"/>
        <v>161.9212962962963</v>
      </c>
      <c r="Y137" s="27">
        <v>85.5</v>
      </c>
      <c r="Z137" s="22">
        <f t="shared" si="29"/>
        <v>56266.281071428566</v>
      </c>
      <c r="AA137" s="24">
        <f t="shared" si="43"/>
        <v>158.22023809523807</v>
      </c>
      <c r="AB137" s="21">
        <v>87.5</v>
      </c>
      <c r="AC137" s="22">
        <f t="shared" si="30"/>
        <v>57582.451388888891</v>
      </c>
      <c r="AD137" s="24">
        <f t="shared" si="44"/>
        <v>161.9212962962963</v>
      </c>
      <c r="AE137" s="22"/>
      <c r="AF137" s="22"/>
      <c r="AG137" s="22">
        <v>25.5</v>
      </c>
      <c r="AH137" s="22">
        <v>97.5</v>
      </c>
      <c r="AI137" s="22">
        <v>109.5</v>
      </c>
      <c r="AJ137" s="22">
        <v>135.5</v>
      </c>
      <c r="AK137" s="22">
        <v>110</v>
      </c>
      <c r="AL137" s="22">
        <v>25</v>
      </c>
      <c r="AM137" s="22">
        <v>5</v>
      </c>
      <c r="AN137" s="25">
        <v>82.6</v>
      </c>
      <c r="AO137" s="25">
        <v>56.9</v>
      </c>
      <c r="AP137" s="26">
        <v>90.39</v>
      </c>
      <c r="AQ137" s="25">
        <v>108</v>
      </c>
      <c r="AR137" s="25">
        <v>108.75</v>
      </c>
      <c r="AS137" s="25">
        <v>109.5</v>
      </c>
      <c r="AT137" s="25"/>
    </row>
    <row r="138" spans="2:46">
      <c r="B138" s="11">
        <v>45530</v>
      </c>
      <c r="C138" s="20">
        <v>83.94</v>
      </c>
      <c r="D138" s="20">
        <v>81.650000000000006</v>
      </c>
      <c r="E138" s="22">
        <f t="shared" si="34"/>
        <v>53732.653210317461</v>
      </c>
      <c r="F138" s="23">
        <v>70.349999999999994</v>
      </c>
      <c r="G138" s="22">
        <f t="shared" si="33"/>
        <v>46296.290916666665</v>
      </c>
      <c r="H138" s="20">
        <v>58100</v>
      </c>
      <c r="I138" s="24">
        <f t="shared" si="35"/>
        <v>163.37663798436535</v>
      </c>
      <c r="J138" s="20">
        <v>58800</v>
      </c>
      <c r="K138" s="24">
        <f t="shared" si="36"/>
        <v>165.34503121309262</v>
      </c>
      <c r="L138" s="20">
        <v>60800</v>
      </c>
      <c r="M138" s="24">
        <f t="shared" si="37"/>
        <v>170.96901186659917</v>
      </c>
      <c r="N138" s="20">
        <v>85500</v>
      </c>
      <c r="O138" s="24">
        <f t="shared" si="38"/>
        <v>240.42517293740508</v>
      </c>
      <c r="P138" s="22">
        <v>7500</v>
      </c>
      <c r="Q138" s="24">
        <f t="shared" si="39"/>
        <v>21.089927450649569</v>
      </c>
      <c r="R138" s="22">
        <v>6000</v>
      </c>
      <c r="S138" s="24">
        <f t="shared" si="40"/>
        <v>16.871941960519656</v>
      </c>
      <c r="T138" s="22">
        <v>500</v>
      </c>
      <c r="U138" s="24">
        <f t="shared" si="41"/>
        <v>1.4059951633766379</v>
      </c>
      <c r="V138" s="23">
        <v>89</v>
      </c>
      <c r="W138" s="22">
        <f t="shared" si="32"/>
        <v>58569.579126984121</v>
      </c>
      <c r="X138" s="24">
        <f t="shared" si="42"/>
        <v>164.69708994708992</v>
      </c>
      <c r="Y138" s="27">
        <v>88.5</v>
      </c>
      <c r="Z138" s="22">
        <f t="shared" si="29"/>
        <v>58240.536547619042</v>
      </c>
      <c r="AA138" s="24">
        <f t="shared" si="43"/>
        <v>163.77182539682539</v>
      </c>
      <c r="AB138" s="21">
        <v>89.5</v>
      </c>
      <c r="AC138" s="22">
        <f t="shared" si="30"/>
        <v>58898.621706349208</v>
      </c>
      <c r="AD138" s="24">
        <f t="shared" si="44"/>
        <v>165.62235449735451</v>
      </c>
      <c r="AE138" s="22"/>
      <c r="AF138" s="22"/>
      <c r="AG138" s="22">
        <v>25.5</v>
      </c>
      <c r="AH138" s="22">
        <v>97.5</v>
      </c>
      <c r="AI138" s="22">
        <v>109.5</v>
      </c>
      <c r="AJ138" s="22">
        <v>135.5</v>
      </c>
      <c r="AK138" s="22">
        <v>110</v>
      </c>
      <c r="AL138" s="22">
        <v>25</v>
      </c>
      <c r="AM138" s="22">
        <v>5</v>
      </c>
      <c r="AN138" s="25">
        <v>78.099999999999994</v>
      </c>
      <c r="AO138" s="25">
        <v>56.9</v>
      </c>
      <c r="AP138" s="26">
        <v>86.51</v>
      </c>
      <c r="AQ138" s="25">
        <v>108</v>
      </c>
      <c r="AR138" s="25">
        <v>108.75</v>
      </c>
      <c r="AS138" s="25">
        <v>109.5</v>
      </c>
      <c r="AT138" s="25"/>
    </row>
    <row r="139" spans="2:46">
      <c r="B139" s="11">
        <v>45537</v>
      </c>
      <c r="C139" s="20">
        <v>83.9</v>
      </c>
      <c r="D139" s="20">
        <v>81.2</v>
      </c>
      <c r="E139" s="22">
        <f t="shared" si="34"/>
        <v>53411.050740740749</v>
      </c>
      <c r="F139" s="23">
        <v>70</v>
      </c>
      <c r="G139" s="22">
        <f t="shared" si="33"/>
        <v>46044.009259259263</v>
      </c>
      <c r="H139" s="28">
        <v>59000</v>
      </c>
      <c r="I139" s="24">
        <f t="shared" si="35"/>
        <v>165.90742927844329</v>
      </c>
      <c r="J139" s="20">
        <v>59500</v>
      </c>
      <c r="K139" s="24">
        <f t="shared" si="36"/>
        <v>167.3134244418199</v>
      </c>
      <c r="L139" s="20">
        <v>61000</v>
      </c>
      <c r="M139" s="24">
        <f t="shared" si="37"/>
        <v>171.53140993194984</v>
      </c>
      <c r="N139" s="20">
        <v>85500</v>
      </c>
      <c r="O139" s="24">
        <f t="shared" si="38"/>
        <v>240.42517293740508</v>
      </c>
      <c r="P139" s="22">
        <v>8500</v>
      </c>
      <c r="Q139" s="24">
        <f t="shared" si="39"/>
        <v>23.901917777402847</v>
      </c>
      <c r="R139" s="22">
        <v>6000</v>
      </c>
      <c r="S139" s="24">
        <f t="shared" si="40"/>
        <v>16.871941960519656</v>
      </c>
      <c r="T139" s="22">
        <v>500</v>
      </c>
      <c r="U139" s="24">
        <f t="shared" si="41"/>
        <v>1.4059951633766379</v>
      </c>
      <c r="V139" s="23">
        <v>89</v>
      </c>
      <c r="W139" s="22">
        <f t="shared" si="32"/>
        <v>58541.668915343929</v>
      </c>
      <c r="X139" s="24">
        <f t="shared" si="42"/>
        <v>164.61860670194008</v>
      </c>
      <c r="Y139" s="27">
        <v>87</v>
      </c>
      <c r="Z139" s="22">
        <f t="shared" si="29"/>
        <v>57226.12579365079</v>
      </c>
      <c r="AA139" s="24">
        <f t="shared" si="43"/>
        <v>160.91931216931215</v>
      </c>
      <c r="AB139" s="21">
        <v>88.6</v>
      </c>
      <c r="AC139" s="22">
        <f t="shared" si="30"/>
        <v>58278.560291005291</v>
      </c>
      <c r="AD139" s="24">
        <f t="shared" si="44"/>
        <v>163.87874779541445</v>
      </c>
      <c r="AE139" s="22"/>
      <c r="AF139" s="22"/>
      <c r="AG139" s="22">
        <v>30.5</v>
      </c>
      <c r="AH139" s="22">
        <v>110</v>
      </c>
      <c r="AI139" s="22">
        <v>107</v>
      </c>
      <c r="AJ139" s="22">
        <v>135</v>
      </c>
      <c r="AK139" s="22">
        <v>110</v>
      </c>
      <c r="AL139" s="22">
        <v>25</v>
      </c>
      <c r="AM139" s="22">
        <v>5</v>
      </c>
      <c r="AN139" s="25">
        <v>78.099999999999994</v>
      </c>
      <c r="AO139" s="25">
        <v>56.9</v>
      </c>
      <c r="AP139" s="26">
        <v>84.6</v>
      </c>
      <c r="AQ139" s="25">
        <v>108</v>
      </c>
      <c r="AR139" s="25">
        <v>108.75</v>
      </c>
      <c r="AS139" s="25">
        <v>109.5</v>
      </c>
      <c r="AT139" s="25"/>
    </row>
    <row r="140" spans="2:46">
      <c r="B140" s="11">
        <v>45544</v>
      </c>
      <c r="C140" s="20">
        <v>83.96</v>
      </c>
      <c r="D140" s="20">
        <v>80.8</v>
      </c>
      <c r="E140" s="22">
        <f t="shared" si="34"/>
        <v>53185.950179894164</v>
      </c>
      <c r="F140" s="23">
        <v>67.83</v>
      </c>
      <c r="G140" s="22">
        <f t="shared" si="33"/>
        <v>44648.551988888888</v>
      </c>
      <c r="H140" s="28">
        <v>60000</v>
      </c>
      <c r="I140" s="24">
        <f t="shared" si="35"/>
        <v>168.71941960519655</v>
      </c>
      <c r="J140" s="20">
        <v>60500</v>
      </c>
      <c r="K140" s="24">
        <f t="shared" si="36"/>
        <v>170.12541476857319</v>
      </c>
      <c r="L140" s="20">
        <v>62000</v>
      </c>
      <c r="M140" s="24">
        <f t="shared" si="37"/>
        <v>174.3434002587031</v>
      </c>
      <c r="N140" s="20">
        <v>86000</v>
      </c>
      <c r="O140" s="24">
        <f t="shared" si="38"/>
        <v>241.83116810078172</v>
      </c>
      <c r="P140" s="22">
        <v>8500</v>
      </c>
      <c r="Q140" s="24">
        <f t="shared" si="39"/>
        <v>23.901917777402847</v>
      </c>
      <c r="R140" s="22">
        <v>6000</v>
      </c>
      <c r="S140" s="24">
        <f t="shared" si="40"/>
        <v>16.871941960519656</v>
      </c>
      <c r="T140" s="22">
        <v>500</v>
      </c>
      <c r="U140" s="24">
        <f t="shared" si="41"/>
        <v>1.4059951633766379</v>
      </c>
      <c r="V140" s="27">
        <v>86</v>
      </c>
      <c r="W140" s="22">
        <f t="shared" si="32"/>
        <v>56608.80835978836</v>
      </c>
      <c r="X140" s="24">
        <f t="shared" si="42"/>
        <v>159.18342151675483</v>
      </c>
      <c r="Y140" s="27">
        <v>85.75</v>
      </c>
      <c r="Z140" s="22">
        <f t="shared" si="29"/>
        <v>56444.247870370367</v>
      </c>
      <c r="AA140" s="24">
        <f t="shared" si="43"/>
        <v>158.72067901234567</v>
      </c>
      <c r="AB140" s="21">
        <v>87.3</v>
      </c>
      <c r="AC140" s="22">
        <f t="shared" si="30"/>
        <v>57464.5229047619</v>
      </c>
      <c r="AD140" s="24">
        <f t="shared" si="44"/>
        <v>161.58968253968251</v>
      </c>
      <c r="AE140" s="22"/>
      <c r="AF140" s="22"/>
      <c r="AG140" s="22">
        <v>30.5</v>
      </c>
      <c r="AH140" s="22">
        <v>110</v>
      </c>
      <c r="AI140" s="22">
        <v>107</v>
      </c>
      <c r="AJ140" s="22">
        <v>135</v>
      </c>
      <c r="AK140" s="22">
        <v>110</v>
      </c>
      <c r="AL140" s="22">
        <v>25</v>
      </c>
      <c r="AM140" s="22">
        <v>5</v>
      </c>
      <c r="AN140" s="25">
        <v>73</v>
      </c>
      <c r="AO140" s="25">
        <v>58</v>
      </c>
      <c r="AP140" s="26">
        <v>82.5</v>
      </c>
      <c r="AQ140" s="25">
        <v>103.5</v>
      </c>
      <c r="AR140" s="25">
        <v>104.25</v>
      </c>
      <c r="AS140" s="25">
        <v>105</v>
      </c>
      <c r="AT140" s="25"/>
    </row>
    <row r="141" spans="2:46">
      <c r="B141" s="11">
        <v>45551</v>
      </c>
      <c r="C141" s="20">
        <v>83.85</v>
      </c>
      <c r="D141" s="20">
        <v>81.95</v>
      </c>
      <c r="E141" s="22">
        <f t="shared" si="34"/>
        <v>53872.255228174596</v>
      </c>
      <c r="F141" s="23">
        <v>72.63</v>
      </c>
      <c r="G141" s="22">
        <f t="shared" si="33"/>
        <v>47745.47769642857</v>
      </c>
      <c r="H141" s="28">
        <v>59800</v>
      </c>
      <c r="I141" s="24">
        <f t="shared" si="35"/>
        <v>168.15702153984591</v>
      </c>
      <c r="J141" s="20">
        <v>60800</v>
      </c>
      <c r="K141" s="24">
        <f t="shared" si="36"/>
        <v>170.96901186659917</v>
      </c>
      <c r="L141" s="20">
        <v>62300</v>
      </c>
      <c r="M141" s="24">
        <f t="shared" si="37"/>
        <v>175.18699735672908</v>
      </c>
      <c r="N141" s="20">
        <v>86000</v>
      </c>
      <c r="O141" s="24">
        <f t="shared" si="38"/>
        <v>241.83116810078172</v>
      </c>
      <c r="P141" s="22">
        <v>8500</v>
      </c>
      <c r="Q141" s="24">
        <f t="shared" si="39"/>
        <v>23.901917777402847</v>
      </c>
      <c r="R141" s="22">
        <v>6000</v>
      </c>
      <c r="S141" s="24">
        <f t="shared" si="40"/>
        <v>16.871941960519656</v>
      </c>
      <c r="T141" s="22">
        <v>500</v>
      </c>
      <c r="U141" s="24">
        <f t="shared" si="41"/>
        <v>1.4059951633766379</v>
      </c>
      <c r="V141" s="27">
        <v>87.5</v>
      </c>
      <c r="W141" s="22">
        <f t="shared" si="32"/>
        <v>57520.711805555547</v>
      </c>
      <c r="X141" s="24">
        <f t="shared" si="42"/>
        <v>161.74768518518516</v>
      </c>
      <c r="Y141" s="27">
        <v>87.75</v>
      </c>
      <c r="Z141" s="22">
        <f t="shared" si="29"/>
        <v>57685.056696428561</v>
      </c>
      <c r="AA141" s="24">
        <f t="shared" si="43"/>
        <v>162.20982142857139</v>
      </c>
      <c r="AB141" s="21">
        <v>87.3</v>
      </c>
      <c r="AC141" s="22">
        <f t="shared" si="30"/>
        <v>57389.235892857134</v>
      </c>
      <c r="AD141" s="24">
        <f t="shared" si="44"/>
        <v>161.37797619047618</v>
      </c>
      <c r="AE141" s="22"/>
      <c r="AF141" s="22"/>
      <c r="AG141" s="22">
        <v>26</v>
      </c>
      <c r="AH141" s="22">
        <v>110</v>
      </c>
      <c r="AI141" s="22">
        <v>107</v>
      </c>
      <c r="AJ141" s="22">
        <v>135.5</v>
      </c>
      <c r="AK141" s="22">
        <v>110</v>
      </c>
      <c r="AL141" s="22">
        <v>25</v>
      </c>
      <c r="AM141" s="22">
        <v>5</v>
      </c>
      <c r="AN141" s="25">
        <v>69.099999999999994</v>
      </c>
      <c r="AO141" s="25">
        <v>58</v>
      </c>
      <c r="AP141" s="26">
        <v>79.146000000000001</v>
      </c>
      <c r="AQ141" s="25">
        <v>103.5</v>
      </c>
      <c r="AR141" s="25">
        <v>104.25</v>
      </c>
      <c r="AS141" s="25">
        <v>105</v>
      </c>
      <c r="AT141" s="25"/>
    </row>
    <row r="142" spans="2:46">
      <c r="B142" s="11">
        <v>45558</v>
      </c>
      <c r="C142" s="20">
        <v>83.49</v>
      </c>
      <c r="D142" s="20">
        <v>82.8</v>
      </c>
      <c r="E142" s="22">
        <f t="shared" si="34"/>
        <v>54197.334714285702</v>
      </c>
      <c r="F142" s="23">
        <v>73.8</v>
      </c>
      <c r="G142" s="22">
        <f t="shared" si="33"/>
        <v>48306.32007142857</v>
      </c>
      <c r="H142" s="28">
        <v>59000</v>
      </c>
      <c r="I142" s="24">
        <f t="shared" si="35"/>
        <v>165.90742927844329</v>
      </c>
      <c r="J142" s="20">
        <v>60000</v>
      </c>
      <c r="K142" s="24">
        <f t="shared" si="36"/>
        <v>168.71941960519655</v>
      </c>
      <c r="L142" s="20">
        <v>60800</v>
      </c>
      <c r="M142" s="24">
        <f t="shared" si="37"/>
        <v>170.96901186659917</v>
      </c>
      <c r="N142" s="20">
        <v>88000</v>
      </c>
      <c r="O142" s="24">
        <f t="shared" si="38"/>
        <v>247.45514875428827</v>
      </c>
      <c r="P142" s="22">
        <v>8500</v>
      </c>
      <c r="Q142" s="24">
        <f t="shared" si="39"/>
        <v>23.901917777402847</v>
      </c>
      <c r="R142" s="22">
        <v>6000</v>
      </c>
      <c r="S142" s="24">
        <f t="shared" si="40"/>
        <v>16.871941960519656</v>
      </c>
      <c r="T142" s="22">
        <v>500</v>
      </c>
      <c r="U142" s="24">
        <f t="shared" si="41"/>
        <v>1.4059951633766379</v>
      </c>
      <c r="V142" s="27">
        <v>87.5</v>
      </c>
      <c r="W142" s="22">
        <f t="shared" si="32"/>
        <v>57273.753472222219</v>
      </c>
      <c r="X142" s="24">
        <f t="shared" si="42"/>
        <v>161.05324074074073</v>
      </c>
      <c r="Y142" s="27">
        <v>87.75</v>
      </c>
      <c r="Z142" s="22">
        <f t="shared" si="29"/>
        <v>57437.392767857149</v>
      </c>
      <c r="AA142" s="24">
        <f t="shared" si="43"/>
        <v>161.51339285714286</v>
      </c>
      <c r="AB142" s="21">
        <v>87.3</v>
      </c>
      <c r="AC142" s="22">
        <f t="shared" si="30"/>
        <v>57142.842035714282</v>
      </c>
      <c r="AD142" s="24">
        <f t="shared" si="44"/>
        <v>160.68511904761903</v>
      </c>
      <c r="AE142" s="22"/>
      <c r="AF142" s="22"/>
      <c r="AG142" s="22">
        <v>26</v>
      </c>
      <c r="AH142" s="22">
        <v>110</v>
      </c>
      <c r="AI142" s="22">
        <v>107</v>
      </c>
      <c r="AJ142" s="22">
        <v>135.5</v>
      </c>
      <c r="AK142" s="22">
        <v>110</v>
      </c>
      <c r="AL142" s="22">
        <v>25</v>
      </c>
      <c r="AM142" s="22">
        <v>5</v>
      </c>
      <c r="AN142" s="25">
        <v>68.8</v>
      </c>
      <c r="AO142" s="25">
        <v>56.3</v>
      </c>
      <c r="AP142" s="26">
        <v>78.31</v>
      </c>
      <c r="AQ142" s="25">
        <v>99.5</v>
      </c>
      <c r="AR142" s="25">
        <v>100.25</v>
      </c>
      <c r="AS142" s="25">
        <v>101</v>
      </c>
      <c r="AT142" s="25"/>
    </row>
    <row r="143" spans="2:46">
      <c r="B143" s="11">
        <v>45565</v>
      </c>
      <c r="C143" s="20">
        <v>83.79</v>
      </c>
      <c r="D143" s="20">
        <v>84.65</v>
      </c>
      <c r="E143" s="22">
        <f t="shared" si="34"/>
        <v>55607.360958333338</v>
      </c>
      <c r="F143" s="23">
        <v>73.25</v>
      </c>
      <c r="G143" s="22">
        <f t="shared" si="33"/>
        <v>48118.596458333333</v>
      </c>
      <c r="H143" s="28">
        <v>58600</v>
      </c>
      <c r="I143" s="24">
        <f t="shared" si="35"/>
        <v>164.78263314774196</v>
      </c>
      <c r="J143" s="20">
        <v>59500</v>
      </c>
      <c r="K143" s="24">
        <f t="shared" si="36"/>
        <v>167.3134244418199</v>
      </c>
      <c r="L143" s="20">
        <v>61000</v>
      </c>
      <c r="M143" s="24">
        <f t="shared" si="37"/>
        <v>171.53140993194984</v>
      </c>
      <c r="N143" s="20">
        <v>91000</v>
      </c>
      <c r="O143" s="24">
        <f t="shared" si="38"/>
        <v>255.89111973454811</v>
      </c>
      <c r="P143" s="22">
        <v>8500</v>
      </c>
      <c r="Q143" s="24">
        <f t="shared" si="39"/>
        <v>23.901917777402847</v>
      </c>
      <c r="R143" s="22">
        <v>6000</v>
      </c>
      <c r="S143" s="24">
        <f t="shared" si="40"/>
        <v>16.871941960519656</v>
      </c>
      <c r="T143" s="22">
        <v>500</v>
      </c>
      <c r="U143" s="24">
        <f t="shared" si="41"/>
        <v>1.4059951633766379</v>
      </c>
      <c r="V143" s="27">
        <v>90.5</v>
      </c>
      <c r="W143" s="22">
        <f t="shared" si="32"/>
        <v>59450.279583333337</v>
      </c>
      <c r="X143" s="24">
        <f t="shared" si="42"/>
        <v>167.17361111111111</v>
      </c>
      <c r="Y143" s="27">
        <v>91.15</v>
      </c>
      <c r="Z143" s="22">
        <f t="shared" si="29"/>
        <v>59877.270541666679</v>
      </c>
      <c r="AA143" s="24">
        <f t="shared" si="43"/>
        <v>168.37430555555559</v>
      </c>
      <c r="AB143" s="21">
        <v>90.3</v>
      </c>
      <c r="AC143" s="22">
        <f t="shared" si="30"/>
        <v>59318.897750000004</v>
      </c>
      <c r="AD143" s="24">
        <f t="shared" si="44"/>
        <v>166.80416666666667</v>
      </c>
      <c r="AE143" s="22"/>
      <c r="AF143" s="22"/>
      <c r="AG143" s="22">
        <v>26</v>
      </c>
      <c r="AH143" s="22">
        <v>101</v>
      </c>
      <c r="AI143" s="22">
        <v>104</v>
      </c>
      <c r="AJ143" s="22">
        <v>147</v>
      </c>
      <c r="AK143" s="22">
        <v>115</v>
      </c>
      <c r="AL143" s="22">
        <v>27.5</v>
      </c>
      <c r="AM143" s="22">
        <v>5</v>
      </c>
      <c r="AN143" s="25">
        <v>69</v>
      </c>
      <c r="AO143" s="25">
        <v>56.3</v>
      </c>
      <c r="AP143" s="26">
        <v>78.48</v>
      </c>
      <c r="AQ143" s="25">
        <v>99.5</v>
      </c>
      <c r="AR143" s="25">
        <v>100.25</v>
      </c>
      <c r="AS143" s="25">
        <v>101</v>
      </c>
      <c r="AT143" s="25"/>
    </row>
    <row r="144" spans="2:46">
      <c r="B144" s="11">
        <v>45572</v>
      </c>
      <c r="C144" s="20">
        <v>83.97</v>
      </c>
      <c r="D144" s="20">
        <v>84.35</v>
      </c>
      <c r="E144" s="22">
        <f t="shared" si="34"/>
        <v>55529.322124999992</v>
      </c>
      <c r="F144" s="23">
        <v>73.52</v>
      </c>
      <c r="G144" s="22">
        <f t="shared" si="33"/>
        <v>48399.71265714286</v>
      </c>
      <c r="H144" s="20">
        <v>56600</v>
      </c>
      <c r="I144" s="24">
        <f t="shared" si="35"/>
        <v>159.15865249423541</v>
      </c>
      <c r="J144" s="20">
        <v>58200</v>
      </c>
      <c r="K144" s="24">
        <f t="shared" si="36"/>
        <v>163.65783701704066</v>
      </c>
      <c r="L144" s="20">
        <v>59700</v>
      </c>
      <c r="M144" s="24">
        <f t="shared" si="37"/>
        <v>167.87582250717057</v>
      </c>
      <c r="N144" s="20">
        <v>91000</v>
      </c>
      <c r="O144" s="24">
        <f t="shared" si="38"/>
        <v>255.89111973454811</v>
      </c>
      <c r="P144" s="22">
        <v>8500</v>
      </c>
      <c r="Q144" s="24">
        <f t="shared" si="39"/>
        <v>23.901917777402847</v>
      </c>
      <c r="R144" s="22">
        <v>6000</v>
      </c>
      <c r="S144" s="24">
        <f t="shared" si="40"/>
        <v>16.871941960519656</v>
      </c>
      <c r="T144" s="22">
        <v>500</v>
      </c>
      <c r="U144" s="24">
        <f t="shared" si="41"/>
        <v>1.4059951633766379</v>
      </c>
      <c r="V144" s="27">
        <v>91.5</v>
      </c>
      <c r="W144" s="22">
        <f t="shared" si="32"/>
        <v>60236.312678571427</v>
      </c>
      <c r="X144" s="24">
        <f t="shared" si="42"/>
        <v>169.38392857142856</v>
      </c>
      <c r="Y144" s="27">
        <v>92.15</v>
      </c>
      <c r="Z144" s="22">
        <f t="shared" si="29"/>
        <v>60664.220910714284</v>
      </c>
      <c r="AA144" s="24">
        <f t="shared" si="43"/>
        <v>170.58720238095236</v>
      </c>
      <c r="AB144" s="21">
        <v>88.75</v>
      </c>
      <c r="AC144" s="22">
        <f t="shared" si="30"/>
        <v>58425.931696428575</v>
      </c>
      <c r="AD144" s="24">
        <f t="shared" si="44"/>
        <v>164.29315476190476</v>
      </c>
      <c r="AE144" s="22"/>
      <c r="AF144" s="22"/>
      <c r="AG144" s="22">
        <v>26</v>
      </c>
      <c r="AH144" s="22">
        <v>101</v>
      </c>
      <c r="AI144" s="22">
        <v>104</v>
      </c>
      <c r="AJ144" s="22">
        <v>147</v>
      </c>
      <c r="AK144" s="22">
        <v>115</v>
      </c>
      <c r="AL144" s="22">
        <v>27.5</v>
      </c>
      <c r="AM144" s="22">
        <v>5</v>
      </c>
      <c r="AN144" s="25">
        <v>72.5</v>
      </c>
      <c r="AO144" s="25">
        <v>56.3</v>
      </c>
      <c r="AP144" s="26">
        <v>81.489999999999995</v>
      </c>
      <c r="AQ144" s="25">
        <v>99.5</v>
      </c>
      <c r="AR144" s="25">
        <v>100.25</v>
      </c>
      <c r="AS144" s="25">
        <v>101</v>
      </c>
      <c r="AT144" s="25"/>
    </row>
    <row r="145" spans="2:46">
      <c r="B145" s="11">
        <v>45579</v>
      </c>
      <c r="C145" s="20">
        <v>84.07</v>
      </c>
      <c r="D145" s="20">
        <v>84</v>
      </c>
      <c r="E145" s="22">
        <f t="shared" si="34"/>
        <v>55364.765555555561</v>
      </c>
      <c r="F145" s="23">
        <v>71.28</v>
      </c>
      <c r="G145" s="22">
        <f t="shared" si="33"/>
        <v>46980.958200000001</v>
      </c>
      <c r="H145" s="20">
        <v>56500</v>
      </c>
      <c r="I145" s="24">
        <f t="shared" si="35"/>
        <v>158.87745346156009</v>
      </c>
      <c r="J145" s="20">
        <v>56000</v>
      </c>
      <c r="K145" s="24">
        <f t="shared" si="36"/>
        <v>157.47145829818345</v>
      </c>
      <c r="L145" s="20">
        <f>57500</f>
        <v>57500</v>
      </c>
      <c r="M145" s="24">
        <f t="shared" si="37"/>
        <v>161.68944378831335</v>
      </c>
      <c r="N145" s="20">
        <v>91000</v>
      </c>
      <c r="O145" s="24">
        <f t="shared" si="38"/>
        <v>255.89111973454811</v>
      </c>
      <c r="P145" s="22">
        <v>11000</v>
      </c>
      <c r="Q145" s="24">
        <f t="shared" si="39"/>
        <v>30.931893594286034</v>
      </c>
      <c r="R145" s="22">
        <v>6000</v>
      </c>
      <c r="S145" s="24">
        <f t="shared" si="40"/>
        <v>16.871941960519656</v>
      </c>
      <c r="T145" s="22">
        <v>500</v>
      </c>
      <c r="U145" s="24">
        <f t="shared" si="41"/>
        <v>1.4059951633766379</v>
      </c>
      <c r="V145" s="27">
        <v>91</v>
      </c>
      <c r="W145" s="22">
        <f t="shared" si="32"/>
        <v>59978.496018518505</v>
      </c>
      <c r="X145" s="24">
        <f t="shared" si="42"/>
        <v>168.65895061728392</v>
      </c>
      <c r="Y145" s="27">
        <v>91</v>
      </c>
      <c r="Z145" s="22">
        <f t="shared" si="29"/>
        <v>59978.496018518505</v>
      </c>
      <c r="AA145" s="24">
        <f t="shared" si="43"/>
        <v>168.65895061728392</v>
      </c>
      <c r="AB145" s="21">
        <v>88</v>
      </c>
      <c r="AC145" s="22">
        <f t="shared" si="30"/>
        <v>58001.182962962965</v>
      </c>
      <c r="AD145" s="24">
        <f t="shared" si="44"/>
        <v>163.09876543209876</v>
      </c>
      <c r="AE145" s="22"/>
      <c r="AF145" s="22"/>
      <c r="AG145" s="22">
        <v>26</v>
      </c>
      <c r="AH145" s="22">
        <v>101</v>
      </c>
      <c r="AI145" s="22">
        <v>104</v>
      </c>
      <c r="AJ145" s="22">
        <v>147</v>
      </c>
      <c r="AK145" s="22">
        <v>115</v>
      </c>
      <c r="AL145" s="22">
        <v>27.5</v>
      </c>
      <c r="AM145" s="22">
        <v>5</v>
      </c>
      <c r="AN145" s="25">
        <v>72.599999999999994</v>
      </c>
      <c r="AO145" s="25">
        <v>56.3</v>
      </c>
      <c r="AP145" s="26">
        <v>81.489999999999995</v>
      </c>
      <c r="AQ145" s="25">
        <v>100.5</v>
      </c>
      <c r="AR145" s="25">
        <v>101.25</v>
      </c>
      <c r="AS145" s="25">
        <v>102</v>
      </c>
      <c r="AT145" s="25"/>
    </row>
    <row r="146" spans="2:46">
      <c r="B146" s="11">
        <v>45586</v>
      </c>
      <c r="C146" s="20">
        <v>84.07</v>
      </c>
      <c r="D146" s="20">
        <v>82.8</v>
      </c>
      <c r="E146" s="22">
        <f t="shared" si="34"/>
        <v>54573.840333333326</v>
      </c>
      <c r="F146" s="23">
        <v>71.33</v>
      </c>
      <c r="G146" s="22">
        <f t="shared" si="33"/>
        <v>47013.913417592586</v>
      </c>
      <c r="H146" s="20">
        <v>56500</v>
      </c>
      <c r="I146" s="24">
        <f t="shared" si="35"/>
        <v>158.87745346156009</v>
      </c>
      <c r="J146" s="20">
        <v>56200</v>
      </c>
      <c r="K146" s="24">
        <f t="shared" si="36"/>
        <v>158.03385636353411</v>
      </c>
      <c r="L146" s="20">
        <v>57200</v>
      </c>
      <c r="M146" s="24">
        <f t="shared" si="37"/>
        <v>160.84584669028737</v>
      </c>
      <c r="N146" s="20">
        <v>93000</v>
      </c>
      <c r="O146" s="24">
        <f t="shared" si="38"/>
        <v>261.51510038805463</v>
      </c>
      <c r="P146" s="22">
        <v>12000</v>
      </c>
      <c r="Q146" s="24">
        <f t="shared" si="39"/>
        <v>33.743883921039313</v>
      </c>
      <c r="R146" s="22">
        <v>6000</v>
      </c>
      <c r="S146" s="24">
        <f t="shared" si="40"/>
        <v>16.871941960519656</v>
      </c>
      <c r="T146" s="22">
        <v>600</v>
      </c>
      <c r="U146" s="24">
        <f t="shared" si="41"/>
        <v>1.6871941960519656</v>
      </c>
      <c r="V146" s="27">
        <v>89.35</v>
      </c>
      <c r="W146" s="22">
        <f t="shared" si="32"/>
        <v>58890.973837962963</v>
      </c>
      <c r="X146" s="24">
        <f t="shared" si="42"/>
        <v>165.60084876543209</v>
      </c>
      <c r="Y146" s="27">
        <v>89.35</v>
      </c>
      <c r="Z146" s="22">
        <f t="shared" si="29"/>
        <v>58890.973837962963</v>
      </c>
      <c r="AA146" s="24">
        <f t="shared" si="43"/>
        <v>165.60084876543209</v>
      </c>
      <c r="AB146" s="21">
        <v>86.5</v>
      </c>
      <c r="AC146" s="22">
        <f t="shared" si="30"/>
        <v>57012.52643518518</v>
      </c>
      <c r="AD146" s="24">
        <f t="shared" si="44"/>
        <v>160.31867283950615</v>
      </c>
      <c r="AE146" s="22"/>
      <c r="AF146" s="22"/>
      <c r="AG146" s="22">
        <v>26</v>
      </c>
      <c r="AH146" s="22">
        <v>101</v>
      </c>
      <c r="AI146" s="22">
        <v>104</v>
      </c>
      <c r="AJ146" s="22">
        <v>147</v>
      </c>
      <c r="AK146" s="22">
        <v>115</v>
      </c>
      <c r="AL146" s="22">
        <v>27.5</v>
      </c>
      <c r="AM146" s="22">
        <v>5</v>
      </c>
      <c r="AN146" s="25">
        <v>70.099999999999994</v>
      </c>
      <c r="AO146" s="25">
        <v>58.5</v>
      </c>
      <c r="AP146" s="26">
        <v>80.180000000000007</v>
      </c>
      <c r="AQ146" s="25">
        <v>100.5</v>
      </c>
      <c r="AR146" s="25">
        <v>101.25</v>
      </c>
      <c r="AS146" s="25">
        <v>102</v>
      </c>
      <c r="AT146" s="25"/>
    </row>
    <row r="147" spans="2:46">
      <c r="B147" s="11">
        <v>45593</v>
      </c>
      <c r="C147" s="20">
        <v>84.08</v>
      </c>
      <c r="D147" s="20">
        <v>84.25</v>
      </c>
      <c r="E147" s="22">
        <f t="shared" si="34"/>
        <v>55536.146798941794</v>
      </c>
      <c r="F147" s="23">
        <v>70.77</v>
      </c>
      <c r="G147" s="22">
        <f t="shared" si="33"/>
        <v>46650.363311111105</v>
      </c>
      <c r="H147" s="20">
        <v>54800</v>
      </c>
      <c r="I147" s="24">
        <f t="shared" si="35"/>
        <v>154.09706990607953</v>
      </c>
      <c r="J147" s="20">
        <v>55500</v>
      </c>
      <c r="K147" s="24">
        <f t="shared" si="36"/>
        <v>156.06546313480681</v>
      </c>
      <c r="L147" s="20">
        <v>56500</v>
      </c>
      <c r="M147" s="24">
        <f t="shared" si="37"/>
        <v>158.87745346156009</v>
      </c>
      <c r="N147" s="20">
        <v>95000</v>
      </c>
      <c r="O147" s="24">
        <f t="shared" si="38"/>
        <v>267.13908104156121</v>
      </c>
      <c r="P147" s="22">
        <v>12000</v>
      </c>
      <c r="Q147" s="24">
        <f t="shared" si="39"/>
        <v>33.743883921039313</v>
      </c>
      <c r="R147" s="22">
        <v>6000</v>
      </c>
      <c r="S147" s="24">
        <f t="shared" si="40"/>
        <v>16.871941960519656</v>
      </c>
      <c r="T147" s="22">
        <v>600</v>
      </c>
      <c r="U147" s="24">
        <f t="shared" si="41"/>
        <v>1.6871941960519656</v>
      </c>
      <c r="V147" s="27">
        <v>89.35</v>
      </c>
      <c r="W147" s="22">
        <f t="shared" si="32"/>
        <v>58897.978830687825</v>
      </c>
      <c r="X147" s="24">
        <f t="shared" si="42"/>
        <v>165.62054673721337</v>
      </c>
      <c r="Y147" s="27">
        <v>89.35</v>
      </c>
      <c r="Z147" s="22">
        <f t="shared" si="29"/>
        <v>58897.978830687825</v>
      </c>
      <c r="AA147" s="24">
        <f t="shared" si="43"/>
        <v>165.62054673721337</v>
      </c>
      <c r="AB147" s="21">
        <v>86.25</v>
      </c>
      <c r="AC147" s="22">
        <f t="shared" si="30"/>
        <v>56854.512301587296</v>
      </c>
      <c r="AD147" s="24">
        <f t="shared" si="44"/>
        <v>159.87433862433861</v>
      </c>
      <c r="AE147" s="22"/>
      <c r="AF147" s="22"/>
      <c r="AG147" s="22">
        <v>25</v>
      </c>
      <c r="AH147" s="22">
        <v>91</v>
      </c>
      <c r="AI147" s="22">
        <v>103</v>
      </c>
      <c r="AJ147" s="22">
        <v>141</v>
      </c>
      <c r="AK147" s="22">
        <v>110</v>
      </c>
      <c r="AL147" s="22">
        <v>31</v>
      </c>
      <c r="AM147" s="22">
        <v>5</v>
      </c>
      <c r="AN147" s="25">
        <v>70.5</v>
      </c>
      <c r="AO147" s="25">
        <v>58.5</v>
      </c>
      <c r="AP147" s="26">
        <v>80.52</v>
      </c>
      <c r="AQ147" s="25">
        <v>100.5</v>
      </c>
      <c r="AR147" s="25">
        <v>101.25</v>
      </c>
      <c r="AS147" s="25">
        <v>102</v>
      </c>
      <c r="AT147" s="25"/>
    </row>
    <row r="148" spans="2:46">
      <c r="B148" s="11">
        <v>45569</v>
      </c>
      <c r="C148" s="20">
        <v>84.29</v>
      </c>
      <c r="D148" s="20">
        <v>82.2</v>
      </c>
      <c r="E148" s="22">
        <f t="shared" si="34"/>
        <v>54320.155325396845</v>
      </c>
      <c r="F148" s="23">
        <v>70.319999999999993</v>
      </c>
      <c r="G148" s="22">
        <f t="shared" si="33"/>
        <v>46469.505139682544</v>
      </c>
      <c r="H148" s="20">
        <v>54700</v>
      </c>
      <c r="I148" s="24">
        <f t="shared" si="35"/>
        <v>153.81587087340418</v>
      </c>
      <c r="J148" s="20">
        <v>55700</v>
      </c>
      <c r="K148" s="24">
        <f t="shared" si="36"/>
        <v>156.62786120015747</v>
      </c>
      <c r="L148" s="20">
        <v>56700</v>
      </c>
      <c r="M148" s="24">
        <f t="shared" si="37"/>
        <v>159.43985152691076</v>
      </c>
      <c r="N148" s="20">
        <v>95000</v>
      </c>
      <c r="O148" s="24">
        <f t="shared" si="38"/>
        <v>267.13908104156121</v>
      </c>
      <c r="P148" s="22">
        <v>12000</v>
      </c>
      <c r="Q148" s="24">
        <f t="shared" si="39"/>
        <v>33.743883921039313</v>
      </c>
      <c r="R148" s="22">
        <v>6000</v>
      </c>
      <c r="S148" s="24">
        <f t="shared" si="40"/>
        <v>16.871941960519656</v>
      </c>
      <c r="T148" s="22">
        <v>600</v>
      </c>
      <c r="U148" s="24">
        <f t="shared" si="41"/>
        <v>1.6871941960519656</v>
      </c>
      <c r="V148" s="27">
        <v>88</v>
      </c>
      <c r="W148" s="22">
        <f t="shared" si="32"/>
        <v>58152.964338624348</v>
      </c>
      <c r="X148" s="24">
        <f t="shared" si="42"/>
        <v>163.52557319223988</v>
      </c>
      <c r="Y148" s="27">
        <v>89.75</v>
      </c>
      <c r="Z148" s="22">
        <f t="shared" si="29"/>
        <v>59309.415333994722</v>
      </c>
      <c r="AA148" s="24">
        <f t="shared" si="43"/>
        <v>166.77750220458557</v>
      </c>
      <c r="AB148" s="21">
        <v>85.25</v>
      </c>
      <c r="AC148" s="22">
        <f t="shared" si="30"/>
        <v>56335.684203042329</v>
      </c>
      <c r="AD148" s="24">
        <f t="shared" si="44"/>
        <v>158.41539902998235</v>
      </c>
      <c r="AE148" s="22"/>
      <c r="AF148" s="22"/>
      <c r="AG148" s="22">
        <v>25</v>
      </c>
      <c r="AH148" s="22">
        <v>91</v>
      </c>
      <c r="AI148" s="22">
        <v>103</v>
      </c>
      <c r="AJ148" s="22">
        <v>141</v>
      </c>
      <c r="AK148" s="22">
        <v>110</v>
      </c>
      <c r="AL148" s="22">
        <v>31</v>
      </c>
      <c r="AM148" s="22">
        <v>5</v>
      </c>
      <c r="AN148" s="25">
        <v>70.099999999999994</v>
      </c>
      <c r="AO148" s="25">
        <v>58.8</v>
      </c>
      <c r="AP148" s="26">
        <v>80.290000000000006</v>
      </c>
      <c r="AQ148" s="25">
        <v>100.5</v>
      </c>
      <c r="AR148" s="25">
        <v>101.25</v>
      </c>
      <c r="AS148" s="25">
        <v>102</v>
      </c>
      <c r="AT148" s="25"/>
    </row>
    <row r="149" spans="2:46">
      <c r="B149" s="11">
        <v>45607</v>
      </c>
      <c r="C149" s="20">
        <v>84.39</v>
      </c>
      <c r="D149" s="20">
        <v>83.35</v>
      </c>
      <c r="E149" s="22">
        <f t="shared" si="34"/>
        <v>55145.454795634927</v>
      </c>
      <c r="F149" s="23">
        <v>71.11</v>
      </c>
      <c r="G149" s="22">
        <f t="shared" si="33"/>
        <v>47047.310024206352</v>
      </c>
      <c r="H149" s="20">
        <v>55300</v>
      </c>
      <c r="I149" s="24">
        <f t="shared" si="35"/>
        <v>155.50306506945617</v>
      </c>
      <c r="J149" s="20">
        <v>55800</v>
      </c>
      <c r="K149" s="24">
        <f t="shared" si="36"/>
        <v>156.90906023283279</v>
      </c>
      <c r="L149" s="20">
        <v>56800</v>
      </c>
      <c r="M149" s="24">
        <f t="shared" si="37"/>
        <v>159.72105055958608</v>
      </c>
      <c r="N149" s="20">
        <v>91000</v>
      </c>
      <c r="O149" s="24">
        <f t="shared" si="38"/>
        <v>255.89111973454811</v>
      </c>
      <c r="P149" s="22">
        <v>12000</v>
      </c>
      <c r="Q149" s="24">
        <f t="shared" si="39"/>
        <v>33.743883921039313</v>
      </c>
      <c r="R149" s="22">
        <v>6000</v>
      </c>
      <c r="S149" s="24">
        <f t="shared" si="40"/>
        <v>16.871941960519656</v>
      </c>
      <c r="T149" s="22">
        <v>600</v>
      </c>
      <c r="U149" s="24">
        <f t="shared" si="41"/>
        <v>1.6871941960519656</v>
      </c>
      <c r="V149" s="27">
        <v>89.5</v>
      </c>
      <c r="W149" s="22">
        <f t="shared" si="32"/>
        <v>59214.375575396829</v>
      </c>
      <c r="X149" s="24">
        <f t="shared" si="42"/>
        <v>166.51025132275134</v>
      </c>
      <c r="Y149" s="27">
        <v>89.25</v>
      </c>
      <c r="Z149" s="22">
        <f t="shared" si="29"/>
        <v>59048.972291666672</v>
      </c>
      <c r="AA149" s="24">
        <f t="shared" si="43"/>
        <v>166.04513888888891</v>
      </c>
      <c r="AB149" s="21">
        <v>87.75</v>
      </c>
      <c r="AC149" s="22">
        <f t="shared" si="30"/>
        <v>58056.552589285719</v>
      </c>
      <c r="AD149" s="24">
        <f t="shared" si="44"/>
        <v>163.25446428571431</v>
      </c>
      <c r="AE149" s="22"/>
      <c r="AF149" s="22"/>
      <c r="AG149" s="22">
        <v>25</v>
      </c>
      <c r="AH149" s="22">
        <v>91</v>
      </c>
      <c r="AI149" s="22">
        <v>103</v>
      </c>
      <c r="AJ149" s="22">
        <v>141</v>
      </c>
      <c r="AK149" s="22">
        <v>110</v>
      </c>
      <c r="AL149" s="22">
        <v>31</v>
      </c>
      <c r="AM149" s="22">
        <v>5</v>
      </c>
      <c r="AN149" s="25">
        <v>70.8</v>
      </c>
      <c r="AO149" s="25">
        <v>58.8</v>
      </c>
      <c r="AP149" s="26">
        <v>80.88</v>
      </c>
      <c r="AQ149" s="25">
        <v>100.5</v>
      </c>
      <c r="AR149" s="25">
        <v>101.25</v>
      </c>
      <c r="AS149" s="25">
        <v>102</v>
      </c>
      <c r="AT149" s="25">
        <v>71.83</v>
      </c>
    </row>
    <row r="150" spans="2:46">
      <c r="B150" s="11">
        <v>45614</v>
      </c>
      <c r="C150" s="29">
        <v>84.4</v>
      </c>
      <c r="D150" s="20">
        <v>81.349999999999994</v>
      </c>
      <c r="E150" s="22">
        <f t="shared" si="34"/>
        <v>53828.606322751322</v>
      </c>
      <c r="F150" s="23">
        <v>68.97</v>
      </c>
      <c r="G150" s="22">
        <f t="shared" si="33"/>
        <v>45636.865126984128</v>
      </c>
      <c r="H150" s="20">
        <v>54000</v>
      </c>
      <c r="I150" s="24">
        <f t="shared" si="35"/>
        <v>151.8474776446769</v>
      </c>
      <c r="J150" s="20">
        <v>54100</v>
      </c>
      <c r="K150" s="24">
        <f t="shared" si="36"/>
        <v>152.12867667735222</v>
      </c>
      <c r="L150" s="20">
        <v>55000</v>
      </c>
      <c r="M150" s="24">
        <f t="shared" si="37"/>
        <v>154.65946797143019</v>
      </c>
      <c r="N150" s="20">
        <v>91000</v>
      </c>
      <c r="O150" s="24">
        <f t="shared" si="38"/>
        <v>255.89111973454811</v>
      </c>
      <c r="P150" s="22">
        <v>12000</v>
      </c>
      <c r="Q150" s="24">
        <f t="shared" si="39"/>
        <v>33.743883921039313</v>
      </c>
      <c r="R150" s="22">
        <v>6000</v>
      </c>
      <c r="S150" s="24">
        <f t="shared" si="40"/>
        <v>16.871941960519656</v>
      </c>
      <c r="T150" s="22">
        <v>600</v>
      </c>
      <c r="U150" s="24">
        <f t="shared" si="41"/>
        <v>1.6871941960519656</v>
      </c>
      <c r="V150" s="27">
        <v>85</v>
      </c>
      <c r="W150" s="22">
        <f t="shared" si="32"/>
        <v>56243.780423280419</v>
      </c>
      <c r="X150" s="24">
        <f t="shared" si="42"/>
        <v>158.15696649029982</v>
      </c>
      <c r="Y150" s="27">
        <v>86</v>
      </c>
      <c r="Z150" s="22">
        <f t="shared" si="29"/>
        <v>56905.471957671958</v>
      </c>
      <c r="AA150" s="24">
        <f t="shared" si="43"/>
        <v>160.01763668430334</v>
      </c>
      <c r="AB150" s="21">
        <v>84.25</v>
      </c>
      <c r="AC150" s="22">
        <f t="shared" si="30"/>
        <v>55747.511772486774</v>
      </c>
      <c r="AD150" s="24">
        <f t="shared" si="44"/>
        <v>156.76146384479719</v>
      </c>
      <c r="AE150" s="22"/>
      <c r="AF150" s="22"/>
      <c r="AG150" s="22">
        <v>27</v>
      </c>
      <c r="AH150" s="22">
        <v>81</v>
      </c>
      <c r="AI150" s="22">
        <v>104.5</v>
      </c>
      <c r="AJ150" s="22">
        <v>141</v>
      </c>
      <c r="AK150" s="22">
        <v>110</v>
      </c>
      <c r="AL150" s="22">
        <v>31</v>
      </c>
      <c r="AM150" s="22">
        <v>5</v>
      </c>
      <c r="AN150" s="25">
        <v>70</v>
      </c>
      <c r="AO150" s="25">
        <v>58.3</v>
      </c>
      <c r="AP150" s="26">
        <v>80.02</v>
      </c>
      <c r="AQ150" s="25">
        <v>100.5</v>
      </c>
      <c r="AR150" s="25">
        <v>101.25</v>
      </c>
      <c r="AS150" s="25">
        <v>102</v>
      </c>
      <c r="AT150" s="25">
        <v>73.3</v>
      </c>
    </row>
    <row r="151" spans="2:46">
      <c r="B151" s="11">
        <v>45621</v>
      </c>
      <c r="C151" s="29">
        <v>84.29</v>
      </c>
      <c r="D151" s="20">
        <v>82.3</v>
      </c>
      <c r="E151" s="22">
        <f t="shared" si="34"/>
        <v>54386.238239417995</v>
      </c>
      <c r="F151" s="23">
        <v>71.260000000000005</v>
      </c>
      <c r="G151" s="22">
        <f t="shared" si="33"/>
        <v>47090.684531481493</v>
      </c>
      <c r="H151" s="20">
        <v>54500</v>
      </c>
      <c r="I151" s="24">
        <f t="shared" si="35"/>
        <v>153.25347280805354</v>
      </c>
      <c r="J151" s="20">
        <v>55000</v>
      </c>
      <c r="K151" s="24">
        <f t="shared" si="36"/>
        <v>154.65946797143019</v>
      </c>
      <c r="L151" s="20">
        <v>56000</v>
      </c>
      <c r="M151" s="24">
        <f t="shared" si="37"/>
        <v>157.47145829818345</v>
      </c>
      <c r="N151" s="20">
        <v>89000</v>
      </c>
      <c r="O151" s="24">
        <f t="shared" si="38"/>
        <v>250.26713908104156</v>
      </c>
      <c r="P151" s="22">
        <v>8500</v>
      </c>
      <c r="Q151" s="24">
        <f t="shared" si="39"/>
        <v>23.901917777402847</v>
      </c>
      <c r="R151" s="22">
        <v>6000</v>
      </c>
      <c r="S151" s="24">
        <f t="shared" si="40"/>
        <v>16.871941960519656</v>
      </c>
      <c r="T151" s="22">
        <v>600</v>
      </c>
      <c r="U151" s="24">
        <f t="shared" si="41"/>
        <v>1.6871941960519656</v>
      </c>
      <c r="V151" s="27">
        <v>89</v>
      </c>
      <c r="W151" s="22">
        <f t="shared" si="32"/>
        <v>58813.793478835985</v>
      </c>
      <c r="X151" s="24">
        <f t="shared" si="42"/>
        <v>165.3838183421517</v>
      </c>
      <c r="Y151" s="27">
        <v>90</v>
      </c>
      <c r="Z151" s="22">
        <f t="shared" si="29"/>
        <v>59474.622619047623</v>
      </c>
      <c r="AA151" s="24">
        <f t="shared" si="43"/>
        <v>167.24206349206349</v>
      </c>
      <c r="AB151" s="21">
        <v>86</v>
      </c>
      <c r="AC151" s="22">
        <f t="shared" si="30"/>
        <v>56831.306058201066</v>
      </c>
      <c r="AD151" s="24">
        <f t="shared" si="44"/>
        <v>159.80908289241626</v>
      </c>
      <c r="AE151" s="22"/>
      <c r="AF151" s="22"/>
      <c r="AG151" s="22">
        <v>27</v>
      </c>
      <c r="AH151" s="22">
        <v>85</v>
      </c>
      <c r="AI151" s="22">
        <v>104.5</v>
      </c>
      <c r="AJ151" s="22">
        <v>141</v>
      </c>
      <c r="AK151" s="22">
        <v>110</v>
      </c>
      <c r="AL151" s="22">
        <v>27</v>
      </c>
      <c r="AM151" s="22">
        <v>5</v>
      </c>
      <c r="AN151" s="25">
        <v>70.3</v>
      </c>
      <c r="AO151" s="25">
        <v>58.3</v>
      </c>
      <c r="AP151" s="26">
        <v>80.28</v>
      </c>
      <c r="AQ151" s="25">
        <v>100.5</v>
      </c>
      <c r="AR151" s="25">
        <v>101.25</v>
      </c>
      <c r="AS151" s="25">
        <v>102</v>
      </c>
      <c r="AT151" s="25">
        <v>72.48</v>
      </c>
    </row>
    <row r="152" spans="2:46">
      <c r="B152" s="11">
        <v>45628</v>
      </c>
      <c r="C152" s="29">
        <v>84.69</v>
      </c>
      <c r="D152" s="20">
        <v>82</v>
      </c>
      <c r="E152" s="22">
        <f t="shared" si="34"/>
        <v>54445.139761904757</v>
      </c>
      <c r="F152" s="23">
        <v>71.650000000000006</v>
      </c>
      <c r="G152" s="22">
        <f t="shared" si="33"/>
        <v>47573.100779761917</v>
      </c>
      <c r="H152" s="20">
        <v>54500</v>
      </c>
      <c r="I152" s="24">
        <f t="shared" si="35"/>
        <v>153.25347280805354</v>
      </c>
      <c r="J152" s="20">
        <v>55100</v>
      </c>
      <c r="K152" s="24">
        <f t="shared" si="36"/>
        <v>154.94066700410551</v>
      </c>
      <c r="L152" s="20">
        <v>56100</v>
      </c>
      <c r="M152" s="24">
        <f t="shared" si="37"/>
        <v>157.75265733085877</v>
      </c>
      <c r="N152" s="20">
        <v>89000</v>
      </c>
      <c r="O152" s="24">
        <f t="shared" si="38"/>
        <v>250.26713908104156</v>
      </c>
      <c r="P152" s="22">
        <v>8500</v>
      </c>
      <c r="Q152" s="24">
        <f t="shared" si="39"/>
        <v>23.901917777402847</v>
      </c>
      <c r="R152" s="22">
        <v>6000</v>
      </c>
      <c r="S152" s="24">
        <f t="shared" si="40"/>
        <v>16.871941960519656</v>
      </c>
      <c r="T152" s="22">
        <v>500</v>
      </c>
      <c r="U152" s="24">
        <f t="shared" si="41"/>
        <v>1.4059951633766379</v>
      </c>
      <c r="V152" s="27">
        <v>91</v>
      </c>
      <c r="W152" s="22">
        <f t="shared" si="32"/>
        <v>60420.825833333329</v>
      </c>
      <c r="X152" s="24">
        <f t="shared" si="42"/>
        <v>169.90277777777777</v>
      </c>
      <c r="Y152" s="27">
        <v>90.25</v>
      </c>
      <c r="Z152" s="22">
        <f t="shared" si="29"/>
        <v>59922.851994047611</v>
      </c>
      <c r="AA152" s="24">
        <f t="shared" si="43"/>
        <v>168.50248015873012</v>
      </c>
      <c r="AB152" s="21">
        <v>87</v>
      </c>
      <c r="AC152" s="22">
        <f t="shared" si="30"/>
        <v>57764.965357142864</v>
      </c>
      <c r="AD152" s="24">
        <f t="shared" si="44"/>
        <v>162.43452380952382</v>
      </c>
      <c r="AE152" s="22"/>
      <c r="AF152" s="22"/>
      <c r="AG152" s="22">
        <v>27</v>
      </c>
      <c r="AH152" s="22">
        <v>85</v>
      </c>
      <c r="AI152" s="22">
        <v>104</v>
      </c>
      <c r="AJ152" s="22">
        <v>141</v>
      </c>
      <c r="AK152" s="22">
        <v>110</v>
      </c>
      <c r="AL152" s="22">
        <v>31</v>
      </c>
      <c r="AM152" s="22">
        <v>5</v>
      </c>
      <c r="AN152" s="25">
        <v>69.900000000000006</v>
      </c>
      <c r="AO152" s="25">
        <v>58.1</v>
      </c>
      <c r="AP152" s="26">
        <v>79.87</v>
      </c>
      <c r="AQ152" s="25">
        <v>100.5</v>
      </c>
      <c r="AR152" s="25">
        <v>101.25</v>
      </c>
      <c r="AS152" s="25">
        <v>102</v>
      </c>
      <c r="AT152" s="25">
        <v>72.31</v>
      </c>
    </row>
    <row r="153" spans="2:46">
      <c r="B153" s="11">
        <v>45635</v>
      </c>
      <c r="C153" s="29">
        <v>84.72</v>
      </c>
      <c r="D153" s="20">
        <v>81.599999999999994</v>
      </c>
      <c r="E153" s="22">
        <f t="shared" si="34"/>
        <v>54198.745904761905</v>
      </c>
      <c r="F153" s="23">
        <v>69.77</v>
      </c>
      <c r="G153" s="22">
        <f t="shared" si="33"/>
        <v>46341.256149206347</v>
      </c>
      <c r="H153" s="20">
        <v>54200</v>
      </c>
      <c r="I153" s="24">
        <f t="shared" si="35"/>
        <v>152.40987571002756</v>
      </c>
      <c r="J153" s="20">
        <v>54300</v>
      </c>
      <c r="K153" s="24">
        <f t="shared" si="36"/>
        <v>152.69107474270288</v>
      </c>
      <c r="L153" s="20">
        <v>55300</v>
      </c>
      <c r="M153" s="24">
        <f t="shared" si="37"/>
        <v>155.50306506945617</v>
      </c>
      <c r="N153" s="20">
        <v>86000</v>
      </c>
      <c r="O153" s="24">
        <f t="shared" si="38"/>
        <v>241.83116810078172</v>
      </c>
      <c r="P153" s="22">
        <v>8500</v>
      </c>
      <c r="Q153" s="24">
        <f t="shared" si="39"/>
        <v>23.901917777402847</v>
      </c>
      <c r="R153" s="22">
        <v>6000</v>
      </c>
      <c r="S153" s="24">
        <f t="shared" si="40"/>
        <v>16.871941960519656</v>
      </c>
      <c r="T153" s="22">
        <v>500</v>
      </c>
      <c r="U153" s="24">
        <f t="shared" si="41"/>
        <v>1.4059951633766379</v>
      </c>
      <c r="V153" s="27">
        <v>89</v>
      </c>
      <c r="W153" s="22">
        <f t="shared" si="32"/>
        <v>59113.828253968255</v>
      </c>
      <c r="X153" s="24">
        <f t="shared" si="42"/>
        <v>166.22751322751324</v>
      </c>
      <c r="Y153" s="27">
        <v>88.25</v>
      </c>
      <c r="Z153" s="22">
        <f t="shared" si="29"/>
        <v>58615.678015873025</v>
      </c>
      <c r="AA153" s="24">
        <f t="shared" si="43"/>
        <v>164.8267195767196</v>
      </c>
      <c r="AB153" s="21">
        <v>84.25</v>
      </c>
      <c r="AC153" s="22">
        <f t="shared" si="30"/>
        <v>55958.876746031747</v>
      </c>
      <c r="AD153" s="24">
        <f t="shared" si="44"/>
        <v>157.3558201058201</v>
      </c>
      <c r="AE153" s="22"/>
      <c r="AF153" s="22"/>
      <c r="AG153" s="22">
        <v>27</v>
      </c>
      <c r="AH153" s="22">
        <v>85</v>
      </c>
      <c r="AI153" s="22">
        <v>104</v>
      </c>
      <c r="AJ153" s="22">
        <v>141</v>
      </c>
      <c r="AK153" s="22">
        <v>110</v>
      </c>
      <c r="AL153" s="22">
        <v>31</v>
      </c>
      <c r="AM153" s="22">
        <v>5</v>
      </c>
      <c r="AN153" s="25">
        <v>69.900000000000006</v>
      </c>
      <c r="AO153" s="25">
        <v>58.1</v>
      </c>
      <c r="AP153" s="26">
        <v>79.87</v>
      </c>
      <c r="AQ153" s="25">
        <v>100.5</v>
      </c>
      <c r="AR153" s="25">
        <v>101.25</v>
      </c>
      <c r="AS153" s="25">
        <v>102</v>
      </c>
      <c r="AT153" s="25">
        <v>72.14</v>
      </c>
    </row>
    <row r="154" spans="2:46">
      <c r="B154" s="11">
        <v>45642</v>
      </c>
      <c r="C154" s="29">
        <v>84.83</v>
      </c>
      <c r="D154" s="20">
        <v>80.25</v>
      </c>
      <c r="E154" s="22">
        <f t="shared" si="34"/>
        <v>53371.282609126989</v>
      </c>
      <c r="F154" s="23">
        <v>69.23</v>
      </c>
      <c r="G154" s="22">
        <f t="shared" si="33"/>
        <v>46042.291526851848</v>
      </c>
      <c r="H154" s="20">
        <v>53500</v>
      </c>
      <c r="I154" s="24">
        <f t="shared" si="35"/>
        <v>150.44148248130026</v>
      </c>
      <c r="J154" s="20">
        <v>54000</v>
      </c>
      <c r="K154" s="24">
        <f t="shared" si="36"/>
        <v>151.8474776446769</v>
      </c>
      <c r="L154" s="20">
        <v>55000</v>
      </c>
      <c r="M154" s="24">
        <f t="shared" si="37"/>
        <v>154.65946797143019</v>
      </c>
      <c r="N154" s="20">
        <v>86000</v>
      </c>
      <c r="O154" s="24">
        <f t="shared" si="38"/>
        <v>241.83116810078172</v>
      </c>
      <c r="P154" s="22">
        <v>8500</v>
      </c>
      <c r="Q154" s="24">
        <f t="shared" si="39"/>
        <v>23.901917777402847</v>
      </c>
      <c r="R154" s="22">
        <v>6000</v>
      </c>
      <c r="S154" s="24">
        <f t="shared" si="40"/>
        <v>16.871941960519656</v>
      </c>
      <c r="T154" s="22">
        <v>500</v>
      </c>
      <c r="U154" s="24">
        <f t="shared" si="41"/>
        <v>1.4059951633766379</v>
      </c>
      <c r="V154" s="27">
        <v>88</v>
      </c>
      <c r="W154" s="22">
        <f t="shared" si="32"/>
        <v>58525.51862433862</v>
      </c>
      <c r="X154" s="24">
        <f t="shared" si="42"/>
        <v>164.57319223985888</v>
      </c>
      <c r="Y154" s="27">
        <v>87.25</v>
      </c>
      <c r="Z154" s="22">
        <f t="shared" si="29"/>
        <v>58026.72159060846</v>
      </c>
      <c r="AA154" s="24">
        <f t="shared" si="43"/>
        <v>163.17057980599645</v>
      </c>
      <c r="AB154" s="21">
        <v>85</v>
      </c>
      <c r="AC154" s="22">
        <f t="shared" si="30"/>
        <v>56530.330489417982</v>
      </c>
      <c r="AD154" s="24">
        <f t="shared" si="44"/>
        <v>158.96274250440914</v>
      </c>
      <c r="AE154" s="22"/>
      <c r="AF154" s="22"/>
      <c r="AG154" s="22">
        <v>27</v>
      </c>
      <c r="AH154" s="22">
        <v>85</v>
      </c>
      <c r="AI154" s="22">
        <v>104</v>
      </c>
      <c r="AJ154" s="22">
        <v>141</v>
      </c>
      <c r="AK154" s="22">
        <v>110</v>
      </c>
      <c r="AL154" s="22">
        <v>31</v>
      </c>
      <c r="AM154" s="22">
        <v>5</v>
      </c>
      <c r="AN154" s="25">
        <v>70.099999999999994</v>
      </c>
      <c r="AO154" s="25">
        <v>58.1</v>
      </c>
      <c r="AP154" s="26">
        <v>80.040000000000006</v>
      </c>
      <c r="AQ154" s="25">
        <v>100.5</v>
      </c>
      <c r="AR154" s="25">
        <v>101.25</v>
      </c>
      <c r="AS154" s="25">
        <v>102</v>
      </c>
      <c r="AT154" s="25">
        <v>72.25</v>
      </c>
    </row>
    <row r="155" spans="2:46">
      <c r="B155" s="11">
        <v>45649</v>
      </c>
      <c r="C155" s="29">
        <v>85.06</v>
      </c>
      <c r="D155" s="20">
        <v>78.150000000000006</v>
      </c>
      <c r="E155" s="22">
        <f t="shared" si="34"/>
        <v>52115.570043650798</v>
      </c>
      <c r="F155" s="23">
        <v>69.16</v>
      </c>
      <c r="G155" s="22">
        <f t="shared" si="33"/>
        <v>46120.445607407411</v>
      </c>
      <c r="H155" s="20">
        <v>53300</v>
      </c>
      <c r="I155" s="24">
        <f t="shared" si="35"/>
        <v>149.87908441594962</v>
      </c>
      <c r="J155" s="20">
        <v>53800</v>
      </c>
      <c r="K155" s="24">
        <f t="shared" si="36"/>
        <v>151.28507957932624</v>
      </c>
      <c r="L155" s="20">
        <v>54800</v>
      </c>
      <c r="M155" s="24">
        <f t="shared" si="37"/>
        <v>154.09706990607953</v>
      </c>
      <c r="N155" s="20">
        <v>86000</v>
      </c>
      <c r="O155" s="24">
        <f t="shared" si="38"/>
        <v>241.83116810078172</v>
      </c>
      <c r="P155" s="22">
        <v>8500</v>
      </c>
      <c r="Q155" s="24">
        <f t="shared" si="39"/>
        <v>23.901917777402847</v>
      </c>
      <c r="R155" s="22">
        <v>6000</v>
      </c>
      <c r="S155" s="24">
        <f t="shared" si="40"/>
        <v>16.871941960519656</v>
      </c>
      <c r="T155" s="22">
        <v>500</v>
      </c>
      <c r="U155" s="24">
        <f t="shared" si="41"/>
        <v>1.4059951633766379</v>
      </c>
      <c r="V155" s="27">
        <v>86</v>
      </c>
      <c r="W155" s="22">
        <f t="shared" si="32"/>
        <v>57350.467354497363</v>
      </c>
      <c r="X155" s="24">
        <f t="shared" si="42"/>
        <v>161.26895943562613</v>
      </c>
      <c r="Y155" s="27">
        <v>86.25</v>
      </c>
      <c r="Z155" s="22">
        <f t="shared" si="29"/>
        <v>57517.183829365087</v>
      </c>
      <c r="AA155" s="24">
        <f t="shared" si="43"/>
        <v>161.73776455026456</v>
      </c>
      <c r="AB155" s="21">
        <v>81.75</v>
      </c>
      <c r="AC155" s="22">
        <f t="shared" si="30"/>
        <v>54516.287281746037</v>
      </c>
      <c r="AD155" s="24">
        <f t="shared" si="44"/>
        <v>153.29927248677251</v>
      </c>
      <c r="AE155" s="22"/>
      <c r="AF155" s="22"/>
      <c r="AG155" s="22">
        <v>27</v>
      </c>
      <c r="AH155" s="22">
        <v>85</v>
      </c>
      <c r="AI155" s="22">
        <v>104</v>
      </c>
      <c r="AJ155" s="22">
        <v>141</v>
      </c>
      <c r="AK155" s="22">
        <v>110</v>
      </c>
      <c r="AL155" s="22">
        <v>31</v>
      </c>
      <c r="AM155" s="22">
        <v>5</v>
      </c>
      <c r="AN155" s="25">
        <v>71.8</v>
      </c>
      <c r="AO155" s="25">
        <v>58.5</v>
      </c>
      <c r="AP155" s="26">
        <v>81.64</v>
      </c>
      <c r="AQ155" s="25">
        <v>101</v>
      </c>
      <c r="AR155" s="25">
        <f t="shared" ref="AR155:AS159" si="45">AQ155+0.75</f>
        <v>101.75</v>
      </c>
      <c r="AS155" s="25">
        <f t="shared" si="45"/>
        <v>102.5</v>
      </c>
      <c r="AT155" s="25">
        <v>73.17</v>
      </c>
    </row>
    <row r="156" spans="2:46">
      <c r="B156" s="11">
        <v>45656</v>
      </c>
      <c r="C156" s="29">
        <v>85.1</v>
      </c>
      <c r="D156" s="20">
        <v>79.400000000000006</v>
      </c>
      <c r="E156" s="22">
        <f t="shared" si="34"/>
        <v>52974.052089947087</v>
      </c>
      <c r="F156" s="23">
        <v>68.81</v>
      </c>
      <c r="G156" s="22">
        <f t="shared" si="33"/>
        <v>45908.621212962957</v>
      </c>
      <c r="H156" s="20">
        <v>53300</v>
      </c>
      <c r="I156" s="24">
        <f t="shared" si="35"/>
        <v>149.87908441594962</v>
      </c>
      <c r="J156" s="20">
        <v>53800</v>
      </c>
      <c r="K156" s="24">
        <f t="shared" si="36"/>
        <v>151.28507957932624</v>
      </c>
      <c r="L156" s="20">
        <v>54800</v>
      </c>
      <c r="M156" s="24">
        <f t="shared" si="37"/>
        <v>154.09706990607953</v>
      </c>
      <c r="N156" s="20">
        <v>86000</v>
      </c>
      <c r="O156" s="24">
        <f t="shared" si="38"/>
        <v>241.83116810078172</v>
      </c>
      <c r="P156" s="22">
        <v>8500</v>
      </c>
      <c r="Q156" s="24">
        <f t="shared" si="39"/>
        <v>23.901917777402847</v>
      </c>
      <c r="R156" s="22">
        <v>6000</v>
      </c>
      <c r="S156" s="24">
        <f t="shared" si="40"/>
        <v>16.871941960519656</v>
      </c>
      <c r="T156" s="22">
        <v>500</v>
      </c>
      <c r="U156" s="24">
        <f t="shared" si="41"/>
        <v>1.4059951633766379</v>
      </c>
      <c r="V156" s="27">
        <v>86</v>
      </c>
      <c r="W156" s="22">
        <f t="shared" si="32"/>
        <v>57377.43677248677</v>
      </c>
      <c r="X156" s="24">
        <f t="shared" si="42"/>
        <v>161.34479717813051</v>
      </c>
      <c r="Y156" s="27">
        <v>86.25</v>
      </c>
      <c r="Z156" s="22">
        <f t="shared" si="29"/>
        <v>57544.231646825392</v>
      </c>
      <c r="AA156" s="24">
        <f t="shared" si="43"/>
        <v>161.81382275132273</v>
      </c>
      <c r="AB156" s="21">
        <v>81.75</v>
      </c>
      <c r="AC156" s="22">
        <f t="shared" si="30"/>
        <v>54541.923908730147</v>
      </c>
      <c r="AD156" s="24">
        <f t="shared" si="44"/>
        <v>153.3713624338624</v>
      </c>
      <c r="AE156" s="22"/>
      <c r="AF156" s="22"/>
      <c r="AG156" s="22">
        <v>27</v>
      </c>
      <c r="AH156" s="22">
        <v>85</v>
      </c>
      <c r="AI156" s="22">
        <v>104</v>
      </c>
      <c r="AJ156" s="22">
        <v>141</v>
      </c>
      <c r="AK156" s="22">
        <v>110</v>
      </c>
      <c r="AL156" s="22">
        <v>31</v>
      </c>
      <c r="AM156" s="22">
        <v>5</v>
      </c>
      <c r="AN156" s="25">
        <v>72.400000000000006</v>
      </c>
      <c r="AO156" s="25">
        <v>58.9</v>
      </c>
      <c r="AP156" s="26">
        <v>82.29</v>
      </c>
      <c r="AQ156" s="25">
        <v>101.5</v>
      </c>
      <c r="AR156" s="25">
        <f t="shared" si="45"/>
        <v>102.25</v>
      </c>
      <c r="AS156" s="25">
        <f t="shared" si="45"/>
        <v>103</v>
      </c>
      <c r="AT156" s="25">
        <v>73.989999999999995</v>
      </c>
    </row>
    <row r="157" spans="2:46">
      <c r="B157" s="11">
        <v>45664</v>
      </c>
      <c r="C157" s="29">
        <v>85.75</v>
      </c>
      <c r="D157" s="20">
        <v>78.05</v>
      </c>
      <c r="E157" s="22">
        <f t="shared" si="34"/>
        <v>52471.099884259253</v>
      </c>
      <c r="F157" s="23">
        <v>68.87</v>
      </c>
      <c r="G157" s="22">
        <f t="shared" si="33"/>
        <v>46299.61113425927</v>
      </c>
      <c r="H157" s="20">
        <v>53700</v>
      </c>
      <c r="I157" s="24">
        <f t="shared" si="35"/>
        <v>151.00388054665092</v>
      </c>
      <c r="J157" s="20">
        <v>54700</v>
      </c>
      <c r="K157" s="24">
        <f t="shared" si="36"/>
        <v>153.81587087340418</v>
      </c>
      <c r="L157" s="20">
        <v>55700</v>
      </c>
      <c r="M157" s="24">
        <f t="shared" si="37"/>
        <v>156.62786120015747</v>
      </c>
      <c r="N157" s="20">
        <v>77000</v>
      </c>
      <c r="O157" s="24">
        <f t="shared" si="38"/>
        <v>216.52325516000224</v>
      </c>
      <c r="P157" s="22">
        <v>8500</v>
      </c>
      <c r="Q157" s="24">
        <f t="shared" si="39"/>
        <v>23.901917777402847</v>
      </c>
      <c r="R157" s="22">
        <v>6000</v>
      </c>
      <c r="S157" s="24">
        <f t="shared" si="40"/>
        <v>16.871941960519656</v>
      </c>
      <c r="T157" s="22">
        <v>500</v>
      </c>
      <c r="U157" s="24">
        <f t="shared" si="41"/>
        <v>1.4059951633766379</v>
      </c>
      <c r="V157" s="27">
        <v>85.4</v>
      </c>
      <c r="W157" s="22">
        <f t="shared" si="32"/>
        <v>57412.324537037042</v>
      </c>
      <c r="X157" s="24">
        <f t="shared" si="42"/>
        <v>161.44290123456793</v>
      </c>
      <c r="Y157" s="27">
        <v>85.65</v>
      </c>
      <c r="Z157" s="22">
        <f t="shared" si="29"/>
        <v>57580.393402777787</v>
      </c>
      <c r="AA157" s="24">
        <f t="shared" si="43"/>
        <v>161.9155092592593</v>
      </c>
      <c r="AB157" s="21">
        <v>82.65</v>
      </c>
      <c r="AC157" s="22">
        <f t="shared" si="30"/>
        <v>55563.567013888896</v>
      </c>
      <c r="AD157" s="24">
        <f t="shared" si="44"/>
        <v>156.24421296296299</v>
      </c>
      <c r="AE157" s="22"/>
      <c r="AF157" s="22"/>
      <c r="AG157" s="22">
        <v>27</v>
      </c>
      <c r="AH157" s="22">
        <v>82</v>
      </c>
      <c r="AI157" s="22">
        <v>103</v>
      </c>
      <c r="AJ157" s="22">
        <v>141</v>
      </c>
      <c r="AK157" s="22">
        <v>114</v>
      </c>
      <c r="AL157" s="22">
        <v>31</v>
      </c>
      <c r="AM157" s="22">
        <v>5</v>
      </c>
      <c r="AN157" s="25">
        <v>73.2</v>
      </c>
      <c r="AO157" s="25">
        <v>58.9</v>
      </c>
      <c r="AP157" s="26">
        <v>82.98</v>
      </c>
      <c r="AQ157" s="25">
        <v>101.5</v>
      </c>
      <c r="AR157" s="25">
        <f t="shared" si="45"/>
        <v>102.25</v>
      </c>
      <c r="AS157" s="25">
        <f t="shared" si="45"/>
        <v>103</v>
      </c>
      <c r="AT157" s="25">
        <v>76.3</v>
      </c>
    </row>
    <row r="158" spans="2:46">
      <c r="B158" s="11">
        <v>45670</v>
      </c>
      <c r="C158" s="29">
        <v>86.37</v>
      </c>
      <c r="D158" s="20">
        <v>78.7</v>
      </c>
      <c r="E158" s="22">
        <f t="shared" si="34"/>
        <v>53290.621313492069</v>
      </c>
      <c r="F158" s="23">
        <v>67.12</v>
      </c>
      <c r="G158" s="22">
        <f t="shared" si="33"/>
        <v>45449.383768253967</v>
      </c>
      <c r="H158" s="20">
        <v>54000</v>
      </c>
      <c r="I158" s="24">
        <f t="shared" si="35"/>
        <v>151.8474776446769</v>
      </c>
      <c r="J158" s="20">
        <v>54500</v>
      </c>
      <c r="K158" s="24">
        <f t="shared" si="36"/>
        <v>153.25347280805354</v>
      </c>
      <c r="L158" s="20">
        <v>555000</v>
      </c>
      <c r="M158" s="24">
        <f t="shared" si="37"/>
        <v>1560.6546313480681</v>
      </c>
      <c r="N158" s="20">
        <v>76000</v>
      </c>
      <c r="O158" s="24">
        <f t="shared" si="38"/>
        <v>213.71126483324898</v>
      </c>
      <c r="P158" s="22">
        <v>8500</v>
      </c>
      <c r="Q158" s="24">
        <f t="shared" si="39"/>
        <v>23.901917777402847</v>
      </c>
      <c r="R158" s="22">
        <v>6000</v>
      </c>
      <c r="S158" s="24">
        <f t="shared" si="40"/>
        <v>16.871941960519656</v>
      </c>
      <c r="T158" s="22">
        <v>500</v>
      </c>
      <c r="U158" s="24">
        <f t="shared" si="41"/>
        <v>1.4059951633766379</v>
      </c>
      <c r="V158" s="27">
        <v>84.5</v>
      </c>
      <c r="W158" s="22">
        <f t="shared" si="32"/>
        <v>57218.011448412704</v>
      </c>
      <c r="X158" s="24">
        <f t="shared" si="42"/>
        <v>160.89649470899474</v>
      </c>
      <c r="Y158" s="27">
        <v>84.5</v>
      </c>
      <c r="Z158" s="22">
        <f t="shared" si="29"/>
        <v>57218.011448412704</v>
      </c>
      <c r="AA158" s="24">
        <f t="shared" si="43"/>
        <v>160.89649470899474</v>
      </c>
      <c r="AB158" s="21">
        <v>84</v>
      </c>
      <c r="AC158" s="22">
        <f t="shared" si="30"/>
        <v>56879.443333333329</v>
      </c>
      <c r="AD158" s="24">
        <f t="shared" si="44"/>
        <v>159.94444444444443</v>
      </c>
      <c r="AE158" s="22" t="s">
        <v>51</v>
      </c>
      <c r="AF158" s="22"/>
      <c r="AG158" s="22">
        <v>27</v>
      </c>
      <c r="AH158" s="22">
        <v>82</v>
      </c>
      <c r="AI158" s="22">
        <v>103</v>
      </c>
      <c r="AJ158" s="22">
        <v>141</v>
      </c>
      <c r="AK158" s="22">
        <v>114</v>
      </c>
      <c r="AL158" s="22">
        <v>31</v>
      </c>
      <c r="AM158" s="22">
        <v>4.5</v>
      </c>
      <c r="AN158" s="25">
        <v>72.400000000000006</v>
      </c>
      <c r="AO158" s="25">
        <v>58.9</v>
      </c>
      <c r="AP158" s="26">
        <v>82.29</v>
      </c>
      <c r="AQ158" s="25">
        <v>101.5</v>
      </c>
      <c r="AR158" s="25">
        <f t="shared" si="45"/>
        <v>102.25</v>
      </c>
      <c r="AS158" s="25">
        <f t="shared" si="45"/>
        <v>103</v>
      </c>
      <c r="AT158" s="25">
        <v>79.92</v>
      </c>
    </row>
    <row r="159" spans="2:46">
      <c r="B159" s="11">
        <v>45677</v>
      </c>
      <c r="C159" s="29">
        <v>86.42</v>
      </c>
      <c r="D159" s="20">
        <v>77.25</v>
      </c>
      <c r="E159" s="22">
        <f t="shared" si="34"/>
        <v>52339.055575396822</v>
      </c>
      <c r="F159" s="23">
        <v>67.900000000000006</v>
      </c>
      <c r="G159" s="22">
        <f t="shared" si="33"/>
        <v>46004.166648148159</v>
      </c>
      <c r="H159" s="20">
        <v>53500</v>
      </c>
      <c r="I159" s="24">
        <f t="shared" si="35"/>
        <v>150.44148248130026</v>
      </c>
      <c r="J159" s="20">
        <v>54400</v>
      </c>
      <c r="K159" s="24">
        <f t="shared" si="36"/>
        <v>152.9722737753782</v>
      </c>
      <c r="L159" s="20">
        <v>55400</v>
      </c>
      <c r="M159" s="24">
        <f t="shared" si="37"/>
        <v>155.78426410213149</v>
      </c>
      <c r="N159" s="20">
        <v>77500</v>
      </c>
      <c r="O159" s="24">
        <f t="shared" si="38"/>
        <v>217.92925032337888</v>
      </c>
      <c r="P159" s="22">
        <v>8500</v>
      </c>
      <c r="Q159" s="24">
        <f t="shared" si="39"/>
        <v>23.901917777402847</v>
      </c>
      <c r="R159" s="22">
        <v>6000</v>
      </c>
      <c r="S159" s="24">
        <f t="shared" si="40"/>
        <v>16.871941960519656</v>
      </c>
      <c r="T159" s="22">
        <v>600</v>
      </c>
      <c r="U159" s="24">
        <f t="shared" si="41"/>
        <v>1.6871941960519656</v>
      </c>
      <c r="V159" s="27">
        <v>84.6</v>
      </c>
      <c r="W159" s="22">
        <f t="shared" si="32"/>
        <v>57318.888047619046</v>
      </c>
      <c r="X159" s="24">
        <f t="shared" si="42"/>
        <v>161.18015873015872</v>
      </c>
      <c r="Y159" s="27">
        <v>83.73</v>
      </c>
      <c r="Z159" s="22">
        <f t="shared" si="29"/>
        <v>56729.438489682543</v>
      </c>
      <c r="AA159" s="24">
        <f t="shared" si="43"/>
        <v>159.52263227513228</v>
      </c>
      <c r="AB159" s="21">
        <v>84.6</v>
      </c>
      <c r="AC159" s="22">
        <f t="shared" si="30"/>
        <v>57318.888047619046</v>
      </c>
      <c r="AD159" s="24">
        <f t="shared" si="44"/>
        <v>161.18015873015872</v>
      </c>
      <c r="AE159" s="22" t="s">
        <v>51</v>
      </c>
      <c r="AF159" s="22"/>
      <c r="AG159" s="22">
        <v>27</v>
      </c>
      <c r="AH159" s="22">
        <v>82</v>
      </c>
      <c r="AI159" s="22">
        <v>103</v>
      </c>
      <c r="AJ159" s="22">
        <v>141</v>
      </c>
      <c r="AK159" s="22">
        <v>114</v>
      </c>
      <c r="AL159" s="22">
        <v>31</v>
      </c>
      <c r="AM159" s="22">
        <v>4.5</v>
      </c>
      <c r="AN159" s="25">
        <v>76.5</v>
      </c>
      <c r="AO159" s="25">
        <v>59.4</v>
      </c>
      <c r="AP159" s="26">
        <v>85.99</v>
      </c>
      <c r="AQ159" s="25">
        <v>101.5</v>
      </c>
      <c r="AR159" s="25">
        <f t="shared" si="45"/>
        <v>102.25</v>
      </c>
      <c r="AS159" s="25">
        <f t="shared" si="45"/>
        <v>103</v>
      </c>
      <c r="AT159" s="25">
        <v>79.099999999999994</v>
      </c>
    </row>
    <row r="160" spans="2:46">
      <c r="B160" s="11">
        <v>45684</v>
      </c>
      <c r="C160" s="29">
        <v>86.56</v>
      </c>
      <c r="D160" s="20">
        <v>78.55</v>
      </c>
      <c r="E160" s="22">
        <f t="shared" si="34"/>
        <v>53306.058169312171</v>
      </c>
      <c r="F160" s="23">
        <v>67.12</v>
      </c>
      <c r="G160" s="22">
        <f t="shared" si="33"/>
        <v>45549.365045502651</v>
      </c>
      <c r="H160" s="20">
        <v>53700</v>
      </c>
      <c r="I160" s="24">
        <f t="shared" si="35"/>
        <v>151.00388054665092</v>
      </c>
      <c r="J160" s="20">
        <v>54000</v>
      </c>
      <c r="K160" s="24">
        <f t="shared" si="36"/>
        <v>151.8474776446769</v>
      </c>
      <c r="L160" s="20">
        <v>55000</v>
      </c>
      <c r="M160" s="24">
        <f t="shared" si="37"/>
        <v>154.65946797143019</v>
      </c>
      <c r="N160" s="20">
        <v>77000</v>
      </c>
      <c r="O160" s="24">
        <f t="shared" si="38"/>
        <v>216.52325516000224</v>
      </c>
      <c r="P160" s="22">
        <v>8500</v>
      </c>
      <c r="Q160" s="24">
        <f t="shared" si="39"/>
        <v>23.901917777402847</v>
      </c>
      <c r="R160" s="22">
        <v>6000</v>
      </c>
      <c r="S160" s="24">
        <f t="shared" si="40"/>
        <v>16.871941960519656</v>
      </c>
      <c r="T160" s="22">
        <v>600</v>
      </c>
      <c r="U160" s="24">
        <f t="shared" si="41"/>
        <v>1.6871941960519656</v>
      </c>
      <c r="V160" s="27">
        <v>87.85</v>
      </c>
      <c r="W160" s="22">
        <f t="shared" si="32"/>
        <v>59617.278296296296</v>
      </c>
      <c r="X160" s="24">
        <f t="shared" si="42"/>
        <v>167.64320987654321</v>
      </c>
      <c r="Y160" s="27">
        <v>84.8</v>
      </c>
      <c r="Z160" s="22">
        <f t="shared" si="29"/>
        <v>57547.469544973545</v>
      </c>
      <c r="AA160" s="24">
        <f t="shared" si="43"/>
        <v>161.82292768959437</v>
      </c>
      <c r="AB160" s="21">
        <v>84.4</v>
      </c>
      <c r="AC160" s="22">
        <f t="shared" si="30"/>
        <v>57276.019216931221</v>
      </c>
      <c r="AD160" s="24">
        <f t="shared" si="44"/>
        <v>161.05961199294535</v>
      </c>
      <c r="AE160" s="22" t="s">
        <v>51</v>
      </c>
      <c r="AF160" s="22"/>
      <c r="AG160" s="22">
        <v>27</v>
      </c>
      <c r="AH160" s="22">
        <v>82</v>
      </c>
      <c r="AI160" s="22">
        <v>103</v>
      </c>
      <c r="AJ160" s="22">
        <v>141</v>
      </c>
      <c r="AK160" s="22">
        <v>114</v>
      </c>
      <c r="AL160" s="22">
        <v>31</v>
      </c>
      <c r="AM160" s="22">
        <v>4.5</v>
      </c>
      <c r="AN160" s="25">
        <v>75.7</v>
      </c>
      <c r="AO160" s="25">
        <v>59.4</v>
      </c>
      <c r="AP160" s="26">
        <v>85.3</v>
      </c>
      <c r="AQ160" s="25">
        <f>AR160-0.75</f>
        <v>102.25</v>
      </c>
      <c r="AR160" s="25">
        <v>103</v>
      </c>
      <c r="AS160" s="25">
        <f>103+0.75</f>
        <v>103.75</v>
      </c>
      <c r="AT160" s="25">
        <v>76.180000000000007</v>
      </c>
    </row>
    <row r="161" spans="2:46">
      <c r="B161" s="11">
        <v>45691</v>
      </c>
      <c r="C161" s="29">
        <v>87.09</v>
      </c>
      <c r="D161" s="20">
        <v>76.8</v>
      </c>
      <c r="E161" s="22">
        <f t="shared" si="34"/>
        <v>52437.580190476197</v>
      </c>
      <c r="F161" s="23">
        <v>66.61</v>
      </c>
      <c r="G161" s="22">
        <f t="shared" si="33"/>
        <v>45480.041881349207</v>
      </c>
      <c r="H161" s="20">
        <v>53000</v>
      </c>
      <c r="I161" s="24">
        <f t="shared" si="35"/>
        <v>149.03548731792361</v>
      </c>
      <c r="J161" s="20">
        <v>53600</v>
      </c>
      <c r="K161" s="24">
        <f t="shared" si="36"/>
        <v>150.7226815139756</v>
      </c>
      <c r="L161" s="20">
        <v>54600</v>
      </c>
      <c r="M161" s="24">
        <f t="shared" si="37"/>
        <v>153.53467184072886</v>
      </c>
      <c r="N161" s="20">
        <v>82000</v>
      </c>
      <c r="O161" s="24">
        <f t="shared" si="38"/>
        <v>230.58320679376862</v>
      </c>
      <c r="P161" s="22">
        <v>8500</v>
      </c>
      <c r="Q161" s="24">
        <f t="shared" si="39"/>
        <v>23.901917777402847</v>
      </c>
      <c r="R161" s="22">
        <v>6000</v>
      </c>
      <c r="S161" s="24">
        <f t="shared" si="40"/>
        <v>16.871941960519656</v>
      </c>
      <c r="T161" s="22">
        <v>600</v>
      </c>
      <c r="U161" s="24">
        <f t="shared" si="41"/>
        <v>1.6871941960519656</v>
      </c>
      <c r="V161" s="27">
        <v>82.75</v>
      </c>
      <c r="W161" s="22">
        <f t="shared" si="32"/>
        <v>56500.127093253977</v>
      </c>
      <c r="X161" s="24">
        <f t="shared" si="42"/>
        <v>158.87781084656086</v>
      </c>
      <c r="Y161" s="27">
        <v>84.8</v>
      </c>
      <c r="Z161" s="22">
        <f t="shared" ref="Z161:Z192" si="46">C161*$H$4*Y161/0.4536/100</f>
        <v>57899.828126984125</v>
      </c>
      <c r="AA161" s="24">
        <f t="shared" si="43"/>
        <v>162.8137566137566</v>
      </c>
      <c r="AB161" s="21">
        <v>83.25</v>
      </c>
      <c r="AC161" s="22">
        <f t="shared" ref="AC161:AC192" si="47">C161*$H$4*AB161/0.4536/100</f>
        <v>56841.517589285715</v>
      </c>
      <c r="AD161" s="24">
        <f t="shared" si="44"/>
        <v>159.83779761904762</v>
      </c>
      <c r="AE161" s="22" t="s">
        <v>51</v>
      </c>
      <c r="AF161" s="22">
        <v>158</v>
      </c>
      <c r="AG161" s="22">
        <v>27</v>
      </c>
      <c r="AH161" s="22">
        <v>82</v>
      </c>
      <c r="AI161" s="22">
        <v>103</v>
      </c>
      <c r="AJ161" s="22">
        <v>141</v>
      </c>
      <c r="AK161" s="22">
        <v>114</v>
      </c>
      <c r="AL161" s="22">
        <v>31</v>
      </c>
      <c r="AM161" s="22">
        <v>4.5</v>
      </c>
      <c r="AN161" s="25">
        <v>75.7</v>
      </c>
      <c r="AO161" s="25">
        <v>59.4</v>
      </c>
      <c r="AP161" s="26">
        <v>85.3</v>
      </c>
      <c r="AQ161" s="25">
        <f>AR161-0.75</f>
        <v>102.25</v>
      </c>
      <c r="AR161" s="25">
        <v>103</v>
      </c>
      <c r="AS161" s="25">
        <f>103+0.75</f>
        <v>103.75</v>
      </c>
      <c r="AT161" s="25">
        <v>76.2</v>
      </c>
    </row>
    <row r="162" spans="2:46">
      <c r="B162" s="11">
        <v>45708</v>
      </c>
      <c r="C162" s="29">
        <v>86.77</v>
      </c>
      <c r="D162" s="20">
        <v>78.8</v>
      </c>
      <c r="E162" s="22">
        <f t="shared" si="34"/>
        <v>53605.450068783059</v>
      </c>
      <c r="F162" s="23">
        <v>67.69</v>
      </c>
      <c r="G162" s="22">
        <f t="shared" si="33"/>
        <v>46047.625826851843</v>
      </c>
      <c r="H162" s="20">
        <v>53300</v>
      </c>
      <c r="I162" s="24">
        <f t="shared" si="35"/>
        <v>149.87908441594962</v>
      </c>
      <c r="J162" s="20">
        <v>54800</v>
      </c>
      <c r="K162" s="24">
        <f t="shared" si="36"/>
        <v>154.09706990607953</v>
      </c>
      <c r="L162" s="20">
        <v>55800</v>
      </c>
      <c r="M162" s="24">
        <f t="shared" si="37"/>
        <v>156.90906023283279</v>
      </c>
      <c r="N162" s="20">
        <v>78500</v>
      </c>
      <c r="O162" s="24">
        <f t="shared" si="38"/>
        <v>220.74124065013217</v>
      </c>
      <c r="P162" s="22">
        <v>8300</v>
      </c>
      <c r="Q162" s="24">
        <f t="shared" si="39"/>
        <v>23.339519712052191</v>
      </c>
      <c r="R162" s="22">
        <v>6000</v>
      </c>
      <c r="S162" s="24">
        <f t="shared" si="40"/>
        <v>16.871941960519656</v>
      </c>
      <c r="T162" s="22">
        <v>600</v>
      </c>
      <c r="U162" s="24">
        <f t="shared" si="41"/>
        <v>1.6871941960519656</v>
      </c>
      <c r="V162" s="27">
        <v>87.25</v>
      </c>
      <c r="W162" s="22">
        <f t="shared" si="32"/>
        <v>59353.750234788349</v>
      </c>
      <c r="X162" s="24">
        <f t="shared" si="42"/>
        <v>166.90217151675481</v>
      </c>
      <c r="Y162" s="27">
        <v>85.25</v>
      </c>
      <c r="Z162" s="22">
        <f t="shared" si="46"/>
        <v>57993.205816798938</v>
      </c>
      <c r="AA162" s="24">
        <f t="shared" si="43"/>
        <v>163.07633377425043</v>
      </c>
      <c r="AB162" s="21">
        <v>83.5</v>
      </c>
      <c r="AC162" s="22">
        <f t="shared" si="47"/>
        <v>56802.7294510582</v>
      </c>
      <c r="AD162" s="24">
        <f t="shared" si="44"/>
        <v>159.72872574955909</v>
      </c>
      <c r="AE162" s="22" t="s">
        <v>51</v>
      </c>
      <c r="AF162" s="22">
        <v>158</v>
      </c>
      <c r="AG162" s="22">
        <v>30.5</v>
      </c>
      <c r="AH162" s="22">
        <v>82.5</v>
      </c>
      <c r="AI162" s="22">
        <v>103</v>
      </c>
      <c r="AJ162" s="22">
        <v>141</v>
      </c>
      <c r="AK162" s="22">
        <v>115</v>
      </c>
      <c r="AL162" s="22">
        <v>31</v>
      </c>
      <c r="AM162" s="22">
        <v>4.5</v>
      </c>
      <c r="AN162" s="25">
        <v>76.599999999999994</v>
      </c>
      <c r="AO162" s="25">
        <v>60.1</v>
      </c>
      <c r="AP162" s="26">
        <v>86.31</v>
      </c>
      <c r="AQ162" s="25">
        <f t="shared" ref="AQ162:AQ191" si="48">AR162-0.75</f>
        <v>102.25</v>
      </c>
      <c r="AR162" s="25">
        <v>103</v>
      </c>
      <c r="AS162" s="25">
        <f t="shared" ref="AS162" si="49">103+0.75</f>
        <v>103.75</v>
      </c>
      <c r="AT162" s="25">
        <v>76.05</v>
      </c>
    </row>
    <row r="163" spans="2:46">
      <c r="B163" s="11">
        <v>45718</v>
      </c>
      <c r="C163" s="29">
        <v>87.09</v>
      </c>
      <c r="D163" s="20">
        <v>76</v>
      </c>
      <c r="E163" s="22">
        <f t="shared" si="34"/>
        <v>51891.355396825391</v>
      </c>
      <c r="F163" s="23">
        <v>63.28</v>
      </c>
      <c r="G163" s="22">
        <f t="shared" si="33"/>
        <v>43206.381177777781</v>
      </c>
      <c r="H163" s="20">
        <v>53300</v>
      </c>
      <c r="I163" s="24">
        <f t="shared" si="35"/>
        <v>149.87908441594962</v>
      </c>
      <c r="J163" s="20">
        <v>54000</v>
      </c>
      <c r="K163" s="24">
        <f t="shared" si="36"/>
        <v>151.8474776446769</v>
      </c>
      <c r="L163" s="20">
        <v>55000</v>
      </c>
      <c r="M163" s="24">
        <f t="shared" si="37"/>
        <v>154.65946797143019</v>
      </c>
      <c r="N163" s="20">
        <v>78000</v>
      </c>
      <c r="O163" s="24">
        <f t="shared" si="38"/>
        <v>219.33524548675553</v>
      </c>
      <c r="P163" s="22">
        <v>8300</v>
      </c>
      <c r="Q163" s="24">
        <f t="shared" si="39"/>
        <v>23.339519712052191</v>
      </c>
      <c r="R163" s="22">
        <v>6000</v>
      </c>
      <c r="S163" s="24">
        <f t="shared" si="40"/>
        <v>16.871941960519656</v>
      </c>
      <c r="T163" s="22">
        <v>600</v>
      </c>
      <c r="U163" s="24">
        <f t="shared" si="41"/>
        <v>1.6871941960519656</v>
      </c>
      <c r="V163" s="27">
        <v>84.25</v>
      </c>
      <c r="W163" s="22">
        <f t="shared" si="32"/>
        <v>57524.298581349205</v>
      </c>
      <c r="X163" s="24">
        <f t="shared" si="42"/>
        <v>161.75777116402116</v>
      </c>
      <c r="Y163" s="27">
        <v>83.6</v>
      </c>
      <c r="Z163" s="22">
        <f t="shared" si="46"/>
        <v>57080.490936507937</v>
      </c>
      <c r="AA163" s="24">
        <f t="shared" si="43"/>
        <v>160.50978835978836</v>
      </c>
      <c r="AB163" s="21">
        <v>82</v>
      </c>
      <c r="AC163" s="22">
        <f t="shared" si="47"/>
        <v>55988.041349206353</v>
      </c>
      <c r="AD163" s="24">
        <f t="shared" si="44"/>
        <v>157.43783068783068</v>
      </c>
      <c r="AE163" s="22" t="s">
        <v>51</v>
      </c>
      <c r="AF163" s="22">
        <v>158</v>
      </c>
      <c r="AG163" s="22">
        <v>30.5</v>
      </c>
      <c r="AH163" s="22">
        <v>82.5</v>
      </c>
      <c r="AI163" s="22">
        <v>103</v>
      </c>
      <c r="AJ163" s="22">
        <v>141</v>
      </c>
      <c r="AK163" s="22">
        <v>115</v>
      </c>
      <c r="AL163" s="22">
        <v>31</v>
      </c>
      <c r="AM163" s="22">
        <v>4.5</v>
      </c>
      <c r="AN163" s="25">
        <v>75.3</v>
      </c>
      <c r="AO163" s="25">
        <v>59.5</v>
      </c>
      <c r="AP163" s="26">
        <v>84.99</v>
      </c>
      <c r="AQ163" s="25">
        <f t="shared" si="48"/>
        <v>102.25</v>
      </c>
      <c r="AR163" s="25">
        <v>103</v>
      </c>
      <c r="AS163" s="25">
        <f t="shared" ref="AS163:AS191" si="50">AR163+0.75</f>
        <v>103.75</v>
      </c>
      <c r="AT163" s="25">
        <v>71.62</v>
      </c>
    </row>
    <row r="164" spans="2:46">
      <c r="B164" s="11">
        <v>45728</v>
      </c>
      <c r="C164" s="29">
        <v>87.19</v>
      </c>
      <c r="D164" s="20">
        <v>77.95</v>
      </c>
      <c r="E164" s="22">
        <f t="shared" si="34"/>
        <v>53283.89071891534</v>
      </c>
      <c r="F164" s="23">
        <v>66.11</v>
      </c>
      <c r="G164" s="22">
        <f t="shared" si="33"/>
        <v>45190.481275529099</v>
      </c>
      <c r="H164" s="20">
        <v>53300</v>
      </c>
      <c r="I164" s="24">
        <f t="shared" si="35"/>
        <v>149.87908441594962</v>
      </c>
      <c r="J164" s="20">
        <v>54200</v>
      </c>
      <c r="K164" s="24">
        <f t="shared" si="36"/>
        <v>152.40987571002756</v>
      </c>
      <c r="L164" s="20">
        <v>55200</v>
      </c>
      <c r="M164" s="24">
        <f t="shared" si="37"/>
        <v>155.22186603678082</v>
      </c>
      <c r="N164" s="20">
        <v>78000</v>
      </c>
      <c r="O164" s="24">
        <f t="shared" si="38"/>
        <v>219.33524548675553</v>
      </c>
      <c r="P164" s="22">
        <v>8000</v>
      </c>
      <c r="Q164" s="24">
        <f t="shared" si="39"/>
        <v>22.495922614026206</v>
      </c>
      <c r="R164" s="22">
        <v>6000</v>
      </c>
      <c r="S164" s="24">
        <f t="shared" si="40"/>
        <v>16.871941960519656</v>
      </c>
      <c r="T164" s="22">
        <v>500</v>
      </c>
      <c r="U164" s="24">
        <f t="shared" si="41"/>
        <v>1.4059951633766379</v>
      </c>
      <c r="V164" s="27">
        <v>84.5</v>
      </c>
      <c r="W164" s="22">
        <f t="shared" si="32"/>
        <v>57761.241382275133</v>
      </c>
      <c r="X164" s="24">
        <f t="shared" si="42"/>
        <v>162.42405202821868</v>
      </c>
      <c r="Y164" s="27">
        <v>83</v>
      </c>
      <c r="Z164" s="22">
        <f t="shared" si="46"/>
        <v>56735.893902116411</v>
      </c>
      <c r="AA164" s="24">
        <f t="shared" si="43"/>
        <v>159.54078483245152</v>
      </c>
      <c r="AB164" s="21">
        <v>82</v>
      </c>
      <c r="AC164" s="22">
        <f t="shared" si="47"/>
        <v>56052.328915343911</v>
      </c>
      <c r="AD164" s="24">
        <f t="shared" si="44"/>
        <v>157.61860670194002</v>
      </c>
      <c r="AE164" s="22" t="s">
        <v>52</v>
      </c>
      <c r="AF164" s="30">
        <v>162</v>
      </c>
      <c r="AG164" s="22">
        <v>30.5</v>
      </c>
      <c r="AH164" s="22">
        <v>82.5</v>
      </c>
      <c r="AI164" s="22">
        <v>103</v>
      </c>
      <c r="AJ164" s="22">
        <v>141</v>
      </c>
      <c r="AK164" s="22">
        <v>115</v>
      </c>
      <c r="AL164" s="22">
        <v>31</v>
      </c>
      <c r="AM164" s="22">
        <v>4.5</v>
      </c>
      <c r="AN164" s="25">
        <v>73.8</v>
      </c>
      <c r="AO164" s="25">
        <v>59.5</v>
      </c>
      <c r="AP164" s="26">
        <v>83.7</v>
      </c>
      <c r="AQ164" s="25">
        <f t="shared" si="48"/>
        <v>102.25</v>
      </c>
      <c r="AR164" s="25">
        <v>103</v>
      </c>
      <c r="AS164" s="25">
        <f t="shared" si="50"/>
        <v>103.75</v>
      </c>
      <c r="AT164" s="25">
        <v>69.88</v>
      </c>
    </row>
    <row r="165" spans="2:46">
      <c r="B165" s="11">
        <v>45752</v>
      </c>
      <c r="C165" s="29">
        <v>85.53</v>
      </c>
      <c r="D165" s="20">
        <v>79.599999999999994</v>
      </c>
      <c r="E165" s="22">
        <f t="shared" si="34"/>
        <v>53375.833698412695</v>
      </c>
      <c r="F165" s="23">
        <v>63.36</v>
      </c>
      <c r="G165" s="22">
        <f t="shared" si="33"/>
        <v>42486.090742857137</v>
      </c>
      <c r="H165" s="20">
        <v>54000</v>
      </c>
      <c r="I165" s="24">
        <f t="shared" si="35"/>
        <v>151.8474776446769</v>
      </c>
      <c r="J165" s="20">
        <v>55000</v>
      </c>
      <c r="K165" s="24">
        <f t="shared" si="36"/>
        <v>154.65946797143019</v>
      </c>
      <c r="L165" s="20">
        <v>56000</v>
      </c>
      <c r="M165" s="24">
        <f t="shared" si="37"/>
        <v>157.47145829818345</v>
      </c>
      <c r="N165" s="20">
        <v>78000</v>
      </c>
      <c r="O165" s="24">
        <f t="shared" si="38"/>
        <v>219.33524548675553</v>
      </c>
      <c r="P165" s="22">
        <v>8000</v>
      </c>
      <c r="Q165" s="24">
        <f t="shared" si="39"/>
        <v>22.495922614026206</v>
      </c>
      <c r="R165" s="22">
        <v>6000</v>
      </c>
      <c r="S165" s="24">
        <f t="shared" si="40"/>
        <v>16.871941960519656</v>
      </c>
      <c r="T165" s="22">
        <v>500</v>
      </c>
      <c r="U165" s="24">
        <f t="shared" si="41"/>
        <v>1.4059951633766379</v>
      </c>
      <c r="V165" s="27">
        <v>87.35</v>
      </c>
      <c r="W165" s="22">
        <f t="shared" ref="W165:W192" si="51">C165*$H$4*V165/0.4536/100</f>
        <v>58572.601426587295</v>
      </c>
      <c r="X165" s="24">
        <f t="shared" si="42"/>
        <v>164.70558862433859</v>
      </c>
      <c r="Y165" s="27">
        <v>83.9</v>
      </c>
      <c r="Z165" s="22">
        <f t="shared" si="46"/>
        <v>56259.201599206346</v>
      </c>
      <c r="AA165" s="24">
        <f t="shared" si="43"/>
        <v>158.20033068783067</v>
      </c>
      <c r="AB165" s="21">
        <v>82.35</v>
      </c>
      <c r="AC165" s="22">
        <f t="shared" si="47"/>
        <v>55219.848053571426</v>
      </c>
      <c r="AD165" s="24">
        <f t="shared" si="44"/>
        <v>155.27767857142857</v>
      </c>
      <c r="AE165" s="22" t="s">
        <v>52</v>
      </c>
      <c r="AF165" s="30">
        <v>162</v>
      </c>
      <c r="AG165" s="22">
        <v>32</v>
      </c>
      <c r="AH165" s="22">
        <v>82.5</v>
      </c>
      <c r="AI165" s="22">
        <v>102</v>
      </c>
      <c r="AJ165" s="22">
        <v>138</v>
      </c>
      <c r="AK165" s="22">
        <v>115</v>
      </c>
      <c r="AL165" s="22">
        <v>38</v>
      </c>
      <c r="AM165" s="22">
        <v>3</v>
      </c>
      <c r="AN165" s="25">
        <v>70.25</v>
      </c>
      <c r="AO165" s="25">
        <v>57.6</v>
      </c>
      <c r="AP165" s="26">
        <v>82.02</v>
      </c>
      <c r="AQ165" s="25">
        <f t="shared" si="48"/>
        <v>101.25</v>
      </c>
      <c r="AR165" s="25">
        <v>102</v>
      </c>
      <c r="AS165" s="25">
        <f t="shared" si="50"/>
        <v>102.75</v>
      </c>
      <c r="AT165" s="25">
        <v>65.58</v>
      </c>
    </row>
    <row r="166" spans="2:46">
      <c r="B166" s="11">
        <v>45768</v>
      </c>
      <c r="C166" s="29">
        <v>85.44</v>
      </c>
      <c r="D166" s="20">
        <v>78.55</v>
      </c>
      <c r="E166" s="22">
        <f t="shared" si="34"/>
        <v>52616.330984126987</v>
      </c>
      <c r="F166" s="23">
        <v>69.400000000000006</v>
      </c>
      <c r="G166" s="22">
        <f t="shared" si="33"/>
        <v>46487.248507936514</v>
      </c>
      <c r="H166" s="20">
        <v>54700</v>
      </c>
      <c r="I166" s="24">
        <f t="shared" si="35"/>
        <v>153.81587087340418</v>
      </c>
      <c r="J166" s="20">
        <v>56000</v>
      </c>
      <c r="K166" s="24">
        <f t="shared" si="36"/>
        <v>157.47145829818345</v>
      </c>
      <c r="L166" s="20">
        <v>57000</v>
      </c>
      <c r="M166" s="24">
        <f t="shared" si="37"/>
        <v>160.28344862493674</v>
      </c>
      <c r="N166" s="20">
        <v>79000</v>
      </c>
      <c r="O166" s="24">
        <f t="shared" si="38"/>
        <v>222.14723581350879</v>
      </c>
      <c r="P166" s="22">
        <v>8000</v>
      </c>
      <c r="Q166" s="24">
        <f t="shared" si="39"/>
        <v>22.495922614026206</v>
      </c>
      <c r="R166" s="22">
        <v>6000</v>
      </c>
      <c r="S166" s="24">
        <f t="shared" si="40"/>
        <v>16.871941960519656</v>
      </c>
      <c r="T166" s="22">
        <v>500</v>
      </c>
      <c r="U166" s="24">
        <f t="shared" si="41"/>
        <v>1.4059951633766379</v>
      </c>
      <c r="V166" s="27">
        <v>85.5</v>
      </c>
      <c r="W166" s="22">
        <f t="shared" si="51"/>
        <v>57271.754285714283</v>
      </c>
      <c r="X166" s="24">
        <f t="shared" si="42"/>
        <v>161.04761904761904</v>
      </c>
      <c r="Y166" s="27">
        <v>83.6</v>
      </c>
      <c r="Z166" s="22">
        <f t="shared" si="46"/>
        <v>55999.048634920633</v>
      </c>
      <c r="AA166" s="24">
        <f t="shared" si="43"/>
        <v>157.46878306878307</v>
      </c>
      <c r="AB166" s="21">
        <v>83.25</v>
      </c>
      <c r="AC166" s="22">
        <f t="shared" si="47"/>
        <v>55764.602857142861</v>
      </c>
      <c r="AD166" s="24">
        <f t="shared" si="44"/>
        <v>156.80952380952382</v>
      </c>
      <c r="AE166" s="22" t="s">
        <v>52</v>
      </c>
      <c r="AF166" s="30">
        <v>162</v>
      </c>
      <c r="AG166" s="22">
        <v>32</v>
      </c>
      <c r="AH166" s="22">
        <v>82.5</v>
      </c>
      <c r="AI166" s="22">
        <v>102</v>
      </c>
      <c r="AJ166" s="22">
        <v>138</v>
      </c>
      <c r="AK166" s="22">
        <v>115</v>
      </c>
      <c r="AL166" s="22">
        <v>38</v>
      </c>
      <c r="AM166" s="22">
        <v>3</v>
      </c>
      <c r="AN166" s="25">
        <v>66.2</v>
      </c>
      <c r="AO166" s="25">
        <v>53.4</v>
      </c>
      <c r="AP166" s="26">
        <v>75.900000000000006</v>
      </c>
      <c r="AQ166" s="25">
        <f t="shared" si="48"/>
        <v>97.25</v>
      </c>
      <c r="AR166" s="25">
        <v>98</v>
      </c>
      <c r="AS166" s="25">
        <f t="shared" si="50"/>
        <v>98.75</v>
      </c>
      <c r="AT166" s="25">
        <v>65.3</v>
      </c>
    </row>
    <row r="167" spans="2:46">
      <c r="B167" s="11">
        <v>45789</v>
      </c>
      <c r="C167" s="29">
        <v>84.83</v>
      </c>
      <c r="D167" s="20">
        <v>78.25</v>
      </c>
      <c r="E167" s="22">
        <f t="shared" si="34"/>
        <v>52041.157185846561</v>
      </c>
      <c r="F167" s="23">
        <v>68.349999999999994</v>
      </c>
      <c r="G167" s="22">
        <f t="shared" si="33"/>
        <v>45457.036340608458</v>
      </c>
      <c r="H167" s="20">
        <v>54000</v>
      </c>
      <c r="I167" s="24">
        <f t="shared" si="35"/>
        <v>151.8474776446769</v>
      </c>
      <c r="J167" s="20">
        <v>55200</v>
      </c>
      <c r="K167" s="24">
        <f t="shared" si="36"/>
        <v>155.22186603678082</v>
      </c>
      <c r="L167" s="20">
        <v>55400</v>
      </c>
      <c r="M167" s="24">
        <f t="shared" si="37"/>
        <v>155.78426410213149</v>
      </c>
      <c r="N167" s="20">
        <v>79000</v>
      </c>
      <c r="O167" s="24">
        <f t="shared" si="38"/>
        <v>222.14723581350879</v>
      </c>
      <c r="P167" s="22">
        <v>8000</v>
      </c>
      <c r="Q167" s="24">
        <f t="shared" si="39"/>
        <v>22.495922614026206</v>
      </c>
      <c r="R167" s="22">
        <v>6000</v>
      </c>
      <c r="S167" s="24">
        <f t="shared" si="40"/>
        <v>16.871941960519656</v>
      </c>
      <c r="T167" s="22">
        <v>500</v>
      </c>
      <c r="U167" s="24">
        <f t="shared" si="41"/>
        <v>1.4059951633766379</v>
      </c>
      <c r="V167" s="27">
        <v>85.5</v>
      </c>
      <c r="W167" s="22">
        <f t="shared" si="51"/>
        <v>56862.861845238091</v>
      </c>
      <c r="X167" s="24">
        <f t="shared" si="42"/>
        <v>159.89781746031744</v>
      </c>
      <c r="Y167" s="27">
        <v>83.6</v>
      </c>
      <c r="Z167" s="22">
        <f t="shared" si="46"/>
        <v>55599.242693121683</v>
      </c>
      <c r="AA167" s="24">
        <f t="shared" si="43"/>
        <v>156.34453262786593</v>
      </c>
      <c r="AB167" s="21">
        <v>83.25</v>
      </c>
      <c r="AC167" s="22">
        <f t="shared" si="47"/>
        <v>55366.47074404762</v>
      </c>
      <c r="AD167" s="24">
        <f t="shared" si="44"/>
        <v>155.68998015873015</v>
      </c>
      <c r="AE167" s="22" t="s">
        <v>52</v>
      </c>
      <c r="AF167" s="30">
        <v>162</v>
      </c>
      <c r="AG167" s="22">
        <v>32</v>
      </c>
      <c r="AH167" s="22">
        <v>82.5</v>
      </c>
      <c r="AI167" s="22">
        <v>102</v>
      </c>
      <c r="AJ167" s="22">
        <v>138</v>
      </c>
      <c r="AK167" s="22">
        <v>115</v>
      </c>
      <c r="AL167" s="22">
        <v>38</v>
      </c>
      <c r="AM167" s="22">
        <v>3</v>
      </c>
      <c r="AN167" s="25">
        <v>72.3</v>
      </c>
      <c r="AO167" s="25">
        <v>55.3</v>
      </c>
      <c r="AP167" s="26">
        <v>80.98</v>
      </c>
      <c r="AQ167" s="25">
        <f t="shared" si="48"/>
        <v>98.25</v>
      </c>
      <c r="AR167" s="25">
        <v>99</v>
      </c>
      <c r="AS167" s="25">
        <f t="shared" si="50"/>
        <v>99.75</v>
      </c>
      <c r="AT167" s="25">
        <v>66.63</v>
      </c>
    </row>
    <row r="168" spans="2:46">
      <c r="B168" s="11">
        <v>45810</v>
      </c>
      <c r="C168" s="29">
        <v>85.39</v>
      </c>
      <c r="D168" s="20">
        <v>77.7</v>
      </c>
      <c r="E168" s="22">
        <f t="shared" si="34"/>
        <v>52016.504472222223</v>
      </c>
      <c r="F168" s="23">
        <v>65.41</v>
      </c>
      <c r="G168" s="22">
        <f t="shared" si="33"/>
        <v>43788.926094312163</v>
      </c>
      <c r="H168" s="20">
        <v>54500</v>
      </c>
      <c r="I168" s="24">
        <f t="shared" si="35"/>
        <v>153.25347280805354</v>
      </c>
      <c r="J168" s="20">
        <v>55500</v>
      </c>
      <c r="K168" s="24">
        <f t="shared" si="36"/>
        <v>156.06546313480681</v>
      </c>
      <c r="L168" s="20">
        <v>56500</v>
      </c>
      <c r="M168" s="24">
        <f t="shared" si="37"/>
        <v>158.87745346156009</v>
      </c>
      <c r="N168" s="20">
        <v>79000</v>
      </c>
      <c r="O168" s="24">
        <f t="shared" si="38"/>
        <v>222.14723581350879</v>
      </c>
      <c r="P168" s="22">
        <v>6800</v>
      </c>
      <c r="Q168" s="24">
        <f t="shared" si="39"/>
        <v>19.121534221922275</v>
      </c>
      <c r="R168" s="22">
        <v>6000</v>
      </c>
      <c r="S168" s="24">
        <f t="shared" si="40"/>
        <v>16.871941960519656</v>
      </c>
      <c r="T168" s="22">
        <v>500</v>
      </c>
      <c r="U168" s="24">
        <f t="shared" si="41"/>
        <v>1.4059951633766379</v>
      </c>
      <c r="V168" s="27">
        <v>83.25</v>
      </c>
      <c r="W168" s="22">
        <f t="shared" si="51"/>
        <v>55731.969077380949</v>
      </c>
      <c r="X168" s="24">
        <f t="shared" si="42"/>
        <v>156.71775793650792</v>
      </c>
      <c r="Y168" s="27">
        <v>83</v>
      </c>
      <c r="Z168" s="22">
        <f t="shared" si="46"/>
        <v>55564.60580687831</v>
      </c>
      <c r="AA168" s="24">
        <f t="shared" si="43"/>
        <v>156.24713403880071</v>
      </c>
      <c r="AB168" s="21">
        <v>81.25</v>
      </c>
      <c r="AC168" s="22">
        <f t="shared" si="47"/>
        <v>54393.062913359798</v>
      </c>
      <c r="AD168" s="24">
        <f t="shared" si="44"/>
        <v>152.9527667548501</v>
      </c>
      <c r="AE168" s="22" t="s">
        <v>52</v>
      </c>
      <c r="AF168" s="30">
        <v>162</v>
      </c>
      <c r="AG168" s="22">
        <v>31</v>
      </c>
      <c r="AH168" s="22">
        <v>93</v>
      </c>
      <c r="AI168" s="22">
        <v>110</v>
      </c>
      <c r="AJ168" s="22">
        <v>138</v>
      </c>
      <c r="AK168" s="22">
        <v>112</v>
      </c>
      <c r="AL168" s="22">
        <v>31</v>
      </c>
      <c r="AM168" s="22">
        <v>3</v>
      </c>
      <c r="AN168" s="25">
        <v>72.599999999999994</v>
      </c>
      <c r="AO168" s="25">
        <v>55.3</v>
      </c>
      <c r="AP168" s="26">
        <v>81.239999999999995</v>
      </c>
      <c r="AQ168" s="25">
        <f t="shared" si="48"/>
        <v>98.5</v>
      </c>
      <c r="AR168" s="25">
        <v>99.25</v>
      </c>
      <c r="AS168" s="25">
        <f t="shared" si="50"/>
        <v>100</v>
      </c>
      <c r="AT168" s="25">
        <v>65.63</v>
      </c>
    </row>
    <row r="169" spans="2:46">
      <c r="B169" s="11">
        <v>45839</v>
      </c>
      <c r="C169" s="29">
        <v>85.47</v>
      </c>
      <c r="D169" s="20">
        <v>80.150000000000006</v>
      </c>
      <c r="E169" s="22">
        <f t="shared" si="34"/>
        <v>53706.934263888892</v>
      </c>
      <c r="F169" s="23">
        <v>68.239999999999995</v>
      </c>
      <c r="G169" s="22">
        <f t="shared" si="33"/>
        <v>45726.278155555548</v>
      </c>
      <c r="H169" s="20">
        <v>55200</v>
      </c>
      <c r="I169" s="24">
        <f t="shared" si="35"/>
        <v>155.22186603678082</v>
      </c>
      <c r="J169" s="20">
        <v>55500</v>
      </c>
      <c r="K169" s="24">
        <f t="shared" si="36"/>
        <v>156.06546313480681</v>
      </c>
      <c r="L169" s="20">
        <v>56500</v>
      </c>
      <c r="M169" s="24">
        <f t="shared" si="37"/>
        <v>158.87745346156009</v>
      </c>
      <c r="N169" s="20">
        <v>79000</v>
      </c>
      <c r="O169" s="24">
        <f t="shared" si="38"/>
        <v>222.14723581350879</v>
      </c>
      <c r="P169" s="22">
        <v>6500</v>
      </c>
      <c r="Q169" s="24">
        <f t="shared" si="39"/>
        <v>18.277937123896294</v>
      </c>
      <c r="R169" s="22">
        <v>6000</v>
      </c>
      <c r="S169" s="24">
        <f t="shared" si="40"/>
        <v>16.871941960519656</v>
      </c>
      <c r="T169" s="22">
        <v>400</v>
      </c>
      <c r="U169" s="24">
        <f t="shared" si="41"/>
        <v>1.1247961307013103</v>
      </c>
      <c r="V169" s="27">
        <v>85</v>
      </c>
      <c r="W169" s="22">
        <f t="shared" si="51"/>
        <v>56956.823611111118</v>
      </c>
      <c r="X169" s="24">
        <f t="shared" si="42"/>
        <v>160.16203703703707</v>
      </c>
      <c r="Y169" s="27">
        <v>83.8</v>
      </c>
      <c r="Z169" s="22">
        <f t="shared" si="46"/>
        <v>56152.727277777769</v>
      </c>
      <c r="AA169" s="24">
        <f t="shared" si="43"/>
        <v>157.90092592592589</v>
      </c>
      <c r="AB169" s="21">
        <v>83.25</v>
      </c>
      <c r="AC169" s="22">
        <f t="shared" si="47"/>
        <v>55784.183125000003</v>
      </c>
      <c r="AD169" s="24">
        <f t="shared" si="44"/>
        <v>156.86458333333334</v>
      </c>
      <c r="AE169" s="22" t="s">
        <v>53</v>
      </c>
      <c r="AF169" s="30">
        <v>163</v>
      </c>
      <c r="AG169" s="22">
        <v>31</v>
      </c>
      <c r="AH169" s="22">
        <v>90</v>
      </c>
      <c r="AI169" s="22">
        <v>110</v>
      </c>
      <c r="AJ169" s="22">
        <v>138</v>
      </c>
      <c r="AK169" s="22">
        <v>112</v>
      </c>
      <c r="AL169" s="22">
        <v>31</v>
      </c>
      <c r="AM169" s="22">
        <v>3</v>
      </c>
      <c r="AN169" s="25">
        <v>76</v>
      </c>
      <c r="AO169" s="25">
        <v>56.3</v>
      </c>
      <c r="AP169" s="26">
        <v>84.5</v>
      </c>
      <c r="AQ169" s="25">
        <f t="shared" si="48"/>
        <v>98.5</v>
      </c>
      <c r="AR169" s="25">
        <v>99.25</v>
      </c>
      <c r="AS169" s="25">
        <f t="shared" si="50"/>
        <v>100</v>
      </c>
      <c r="AT169" s="25">
        <v>67.11</v>
      </c>
    </row>
    <row r="170" spans="2:46">
      <c r="B170" s="11">
        <v>45852</v>
      </c>
      <c r="C170" s="29">
        <v>85.88</v>
      </c>
      <c r="D170" s="20">
        <v>78.05</v>
      </c>
      <c r="E170" s="22">
        <f t="shared" si="34"/>
        <v>52550.647907407401</v>
      </c>
      <c r="F170" s="23">
        <v>68.47</v>
      </c>
      <c r="G170" s="22">
        <f t="shared" si="33"/>
        <v>46100.4851021164</v>
      </c>
      <c r="H170" s="20">
        <v>57500</v>
      </c>
      <c r="I170" s="24">
        <f t="shared" si="35"/>
        <v>161.68944378831335</v>
      </c>
      <c r="J170" s="20">
        <v>58000</v>
      </c>
      <c r="K170" s="24">
        <f t="shared" si="36"/>
        <v>163.09543895169</v>
      </c>
      <c r="L170" s="20">
        <v>59000</v>
      </c>
      <c r="M170" s="24">
        <f t="shared" si="37"/>
        <v>165.90742927844329</v>
      </c>
      <c r="N170" s="20">
        <v>80000</v>
      </c>
      <c r="O170" s="24">
        <f t="shared" si="38"/>
        <v>224.95922614026207</v>
      </c>
      <c r="P170" s="22">
        <v>6000</v>
      </c>
      <c r="Q170" s="24">
        <f t="shared" si="39"/>
        <v>16.871941960519656</v>
      </c>
      <c r="R170" s="22">
        <v>6000</v>
      </c>
      <c r="S170" s="24">
        <f t="shared" si="40"/>
        <v>16.871941960519656</v>
      </c>
      <c r="T170" s="22">
        <v>400</v>
      </c>
      <c r="U170" s="24">
        <f t="shared" si="41"/>
        <v>1.1247961307013103</v>
      </c>
      <c r="V170" s="27">
        <v>83.5</v>
      </c>
      <c r="W170" s="22">
        <f t="shared" si="51"/>
        <v>56220.103783068786</v>
      </c>
      <c r="X170" s="24">
        <f t="shared" si="42"/>
        <v>158.09038800705468</v>
      </c>
      <c r="Y170" s="27">
        <v>82</v>
      </c>
      <c r="Z170" s="22">
        <f t="shared" si="46"/>
        <v>55210.161798941801</v>
      </c>
      <c r="AA170" s="24">
        <f t="shared" si="43"/>
        <v>155.2504409171076</v>
      </c>
      <c r="AB170" s="21">
        <v>82.5</v>
      </c>
      <c r="AC170" s="22">
        <f t="shared" si="47"/>
        <v>55546.809126984132</v>
      </c>
      <c r="AD170" s="24">
        <f t="shared" si="44"/>
        <v>156.19708994708995</v>
      </c>
      <c r="AE170" s="22" t="s">
        <v>53</v>
      </c>
      <c r="AF170" s="30">
        <v>163</v>
      </c>
      <c r="AG170" s="22">
        <v>31</v>
      </c>
      <c r="AH170" s="22">
        <v>90</v>
      </c>
      <c r="AI170" s="22">
        <v>110</v>
      </c>
      <c r="AJ170" s="22">
        <v>138</v>
      </c>
      <c r="AK170" s="22">
        <v>112</v>
      </c>
      <c r="AL170" s="22">
        <v>31</v>
      </c>
      <c r="AM170" s="22">
        <v>3</v>
      </c>
      <c r="AN170" s="25">
        <v>73.400000000000006</v>
      </c>
      <c r="AO170" s="25">
        <v>56</v>
      </c>
      <c r="AP170" s="26">
        <v>82.16</v>
      </c>
      <c r="AQ170" s="25">
        <f t="shared" si="48"/>
        <v>98.5</v>
      </c>
      <c r="AR170" s="25">
        <v>99.25</v>
      </c>
      <c r="AS170" s="25">
        <f t="shared" si="50"/>
        <v>100</v>
      </c>
      <c r="AT170" s="25">
        <v>70.36</v>
      </c>
    </row>
    <row r="171" spans="2:46">
      <c r="B171" s="11">
        <v>45867</v>
      </c>
      <c r="C171" s="29">
        <v>86.8</v>
      </c>
      <c r="D171" s="20">
        <v>79.2</v>
      </c>
      <c r="E171" s="22">
        <f t="shared" si="34"/>
        <v>53896.186666666661</v>
      </c>
      <c r="F171" s="23">
        <v>68.27</v>
      </c>
      <c r="G171" s="22">
        <f t="shared" si="33"/>
        <v>46458.240703703697</v>
      </c>
      <c r="H171" s="20">
        <v>57000</v>
      </c>
      <c r="I171" s="24">
        <f t="shared" si="35"/>
        <v>160.28344862493674</v>
      </c>
      <c r="J171" s="20">
        <v>57500</v>
      </c>
      <c r="K171" s="24">
        <f t="shared" si="36"/>
        <v>161.68944378831335</v>
      </c>
      <c r="L171" s="20">
        <v>58500</v>
      </c>
      <c r="M171" s="24">
        <f t="shared" si="37"/>
        <v>164.50143411506664</v>
      </c>
      <c r="N171" s="20">
        <v>80000</v>
      </c>
      <c r="O171" s="24">
        <f t="shared" si="38"/>
        <v>224.95922614026207</v>
      </c>
      <c r="P171" s="22">
        <v>5500</v>
      </c>
      <c r="Q171" s="24">
        <f t="shared" si="39"/>
        <v>15.465946797143017</v>
      </c>
      <c r="R171" s="22">
        <v>5500</v>
      </c>
      <c r="S171" s="24">
        <f t="shared" si="40"/>
        <v>15.465946797143017</v>
      </c>
      <c r="T171" s="22">
        <v>350</v>
      </c>
      <c r="U171" s="24">
        <f t="shared" si="41"/>
        <v>0.98419661436364658</v>
      </c>
      <c r="V171" s="27">
        <v>84.5</v>
      </c>
      <c r="W171" s="22">
        <f t="shared" si="51"/>
        <v>57502.875925925924</v>
      </c>
      <c r="X171" s="24">
        <f t="shared" si="42"/>
        <v>161.69753086419752</v>
      </c>
      <c r="Y171" s="27">
        <v>83.4</v>
      </c>
      <c r="Z171" s="22">
        <f t="shared" si="46"/>
        <v>56754.317777777782</v>
      </c>
      <c r="AA171" s="24">
        <f t="shared" si="43"/>
        <v>159.59259259259261</v>
      </c>
      <c r="AB171" s="21">
        <v>82</v>
      </c>
      <c r="AC171" s="22">
        <f t="shared" si="47"/>
        <v>55801.607407407406</v>
      </c>
      <c r="AD171" s="24">
        <f t="shared" si="44"/>
        <v>156.91358024691357</v>
      </c>
      <c r="AE171" s="22" t="s">
        <v>54</v>
      </c>
      <c r="AF171" s="30">
        <v>163</v>
      </c>
      <c r="AG171" s="22">
        <v>31</v>
      </c>
      <c r="AH171" s="22">
        <v>91</v>
      </c>
      <c r="AI171" s="22">
        <v>107</v>
      </c>
      <c r="AJ171" s="22">
        <v>136</v>
      </c>
      <c r="AK171" s="22">
        <v>110</v>
      </c>
      <c r="AL171" s="22">
        <v>31</v>
      </c>
      <c r="AM171" s="22">
        <v>3</v>
      </c>
      <c r="AN171" s="25">
        <v>74.2</v>
      </c>
      <c r="AO171" s="25">
        <v>55.7</v>
      </c>
      <c r="AP171" s="26">
        <v>82.75</v>
      </c>
      <c r="AQ171" s="25">
        <f t="shared" si="48"/>
        <v>98.5</v>
      </c>
      <c r="AR171" s="25">
        <v>99.25</v>
      </c>
      <c r="AS171" s="25">
        <f t="shared" si="50"/>
        <v>100</v>
      </c>
      <c r="AT171" s="25">
        <v>72.47</v>
      </c>
    </row>
    <row r="172" spans="2:46">
      <c r="B172" s="11">
        <v>45899</v>
      </c>
      <c r="C172" s="29">
        <v>87.77</v>
      </c>
      <c r="D172" s="20">
        <v>78.900000000000006</v>
      </c>
      <c r="E172" s="22">
        <f t="shared" si="34"/>
        <v>54292.049115079368</v>
      </c>
      <c r="F172" s="23">
        <v>67.319999999999993</v>
      </c>
      <c r="G172" s="22">
        <f t="shared" si="33"/>
        <v>46323.710347619039</v>
      </c>
      <c r="H172" s="20">
        <v>56500</v>
      </c>
      <c r="I172" s="24">
        <f t="shared" si="35"/>
        <v>158.87745346156009</v>
      </c>
      <c r="J172" s="20">
        <v>57300</v>
      </c>
      <c r="K172" s="24">
        <f t="shared" si="36"/>
        <v>161.12704572296272</v>
      </c>
      <c r="L172" s="20">
        <v>58300</v>
      </c>
      <c r="M172" s="24">
        <f t="shared" si="37"/>
        <v>163.93903604971598</v>
      </c>
      <c r="N172" s="20">
        <v>77000</v>
      </c>
      <c r="O172" s="24">
        <f t="shared" si="38"/>
        <v>216.52325516000224</v>
      </c>
      <c r="P172" s="22">
        <v>5500</v>
      </c>
      <c r="Q172" s="24">
        <f t="shared" si="39"/>
        <v>15.465946797143017</v>
      </c>
      <c r="R172" s="22">
        <v>5500</v>
      </c>
      <c r="S172" s="24">
        <f t="shared" si="40"/>
        <v>15.465946797143017</v>
      </c>
      <c r="T172" s="22">
        <v>350</v>
      </c>
      <c r="U172" s="24">
        <f t="shared" si="41"/>
        <v>0.98419661436364658</v>
      </c>
      <c r="V172" s="27">
        <v>84.5</v>
      </c>
      <c r="W172" s="22">
        <f t="shared" si="51"/>
        <v>58145.47718915344</v>
      </c>
      <c r="X172" s="24">
        <f t="shared" si="42"/>
        <v>163.50451940035273</v>
      </c>
      <c r="Y172" s="27">
        <v>83.4</v>
      </c>
      <c r="Z172" s="22">
        <f t="shared" si="46"/>
        <v>57388.553817460321</v>
      </c>
      <c r="AA172" s="24">
        <f t="shared" si="43"/>
        <v>161.37605820105821</v>
      </c>
      <c r="AB172" s="21">
        <v>82</v>
      </c>
      <c r="AC172" s="22">
        <f t="shared" si="47"/>
        <v>56425.196798941797</v>
      </c>
      <c r="AD172" s="24">
        <f t="shared" si="44"/>
        <v>158.66710758377425</v>
      </c>
      <c r="AE172" s="22" t="s">
        <v>55</v>
      </c>
      <c r="AF172" s="30">
        <v>163</v>
      </c>
      <c r="AG172" s="22">
        <v>31</v>
      </c>
      <c r="AH172" s="22">
        <v>91</v>
      </c>
      <c r="AI172" s="22">
        <v>107</v>
      </c>
      <c r="AJ172" s="22">
        <v>136</v>
      </c>
      <c r="AK172" s="22">
        <v>110</v>
      </c>
      <c r="AL172" s="22">
        <v>31</v>
      </c>
      <c r="AM172" s="22">
        <v>3</v>
      </c>
      <c r="AN172" s="25">
        <v>75.5</v>
      </c>
      <c r="AO172" s="25">
        <v>56.1</v>
      </c>
      <c r="AP172" s="26">
        <v>84</v>
      </c>
      <c r="AQ172" s="25">
        <f t="shared" si="48"/>
        <v>98.5</v>
      </c>
      <c r="AR172" s="25">
        <v>99.25</v>
      </c>
      <c r="AS172" s="25">
        <f t="shared" si="50"/>
        <v>100</v>
      </c>
      <c r="AT172" s="25">
        <v>67.48</v>
      </c>
    </row>
    <row r="173" spans="2:46">
      <c r="B173" s="11">
        <v>45918</v>
      </c>
      <c r="C173" s="29">
        <v>88.11</v>
      </c>
      <c r="D173" s="20">
        <v>79.099999999999994</v>
      </c>
      <c r="E173" s="22">
        <f t="shared" si="34"/>
        <v>54640.519083333333</v>
      </c>
      <c r="F173" s="23">
        <v>66.790000000000006</v>
      </c>
      <c r="G173" s="22">
        <f t="shared" si="33"/>
        <v>46137.045127380959</v>
      </c>
      <c r="H173" s="20">
        <v>55500</v>
      </c>
      <c r="I173" s="24">
        <f t="shared" si="35"/>
        <v>156.06546313480681</v>
      </c>
      <c r="J173" s="20">
        <v>55800</v>
      </c>
      <c r="K173" s="24">
        <f t="shared" si="36"/>
        <v>156.90906023283279</v>
      </c>
      <c r="L173" s="20">
        <v>56000</v>
      </c>
      <c r="M173" s="24">
        <f t="shared" si="37"/>
        <v>157.47145829818345</v>
      </c>
      <c r="N173" s="20">
        <v>77000</v>
      </c>
      <c r="O173" s="24">
        <f t="shared" si="38"/>
        <v>216.52325516000224</v>
      </c>
      <c r="P173" s="22">
        <v>5000</v>
      </c>
      <c r="Q173" s="24">
        <f t="shared" si="39"/>
        <v>14.05995163376638</v>
      </c>
      <c r="R173" s="22">
        <v>5500</v>
      </c>
      <c r="S173" s="24">
        <f t="shared" si="40"/>
        <v>15.465946797143017</v>
      </c>
      <c r="T173" s="22">
        <v>350</v>
      </c>
      <c r="U173" s="24">
        <f t="shared" si="41"/>
        <v>0.98419661436364658</v>
      </c>
      <c r="V173" s="27">
        <v>85.35</v>
      </c>
      <c r="W173" s="22">
        <f t="shared" si="51"/>
        <v>58957.879946428562</v>
      </c>
      <c r="X173" s="24">
        <f t="shared" si="42"/>
        <v>165.78898809523807</v>
      </c>
      <c r="Y173" s="27">
        <v>81.7</v>
      </c>
      <c r="Z173" s="22">
        <f t="shared" si="46"/>
        <v>56436.541202380955</v>
      </c>
      <c r="AA173" s="24">
        <f t="shared" si="43"/>
        <v>158.69900793650794</v>
      </c>
      <c r="AB173" s="21">
        <v>83</v>
      </c>
      <c r="AC173" s="22">
        <f t="shared" si="47"/>
        <v>57334.552261904755</v>
      </c>
      <c r="AD173" s="24">
        <f t="shared" si="44"/>
        <v>161.22420634920633</v>
      </c>
      <c r="AE173" s="22" t="s">
        <v>55</v>
      </c>
      <c r="AF173" s="30">
        <v>163</v>
      </c>
      <c r="AG173" s="22">
        <v>43</v>
      </c>
      <c r="AH173" s="22">
        <v>93</v>
      </c>
      <c r="AI173" s="22">
        <v>113</v>
      </c>
      <c r="AJ173" s="22">
        <v>136</v>
      </c>
      <c r="AK173" s="22">
        <v>110</v>
      </c>
      <c r="AL173" s="22">
        <v>31</v>
      </c>
      <c r="AM173" s="22">
        <v>3</v>
      </c>
      <c r="AN173" s="25">
        <v>74.099999999999994</v>
      </c>
      <c r="AO173" s="25">
        <v>56.9</v>
      </c>
      <c r="AP173" s="26">
        <v>83.42</v>
      </c>
      <c r="AQ173" s="25">
        <f t="shared" si="48"/>
        <v>98.5</v>
      </c>
      <c r="AR173" s="25">
        <v>99.25</v>
      </c>
      <c r="AS173" s="25">
        <f t="shared" si="50"/>
        <v>100</v>
      </c>
      <c r="AT173" s="25">
        <v>68.010000000000005</v>
      </c>
    </row>
    <row r="174" spans="2:46">
      <c r="B174" s="11">
        <v>45933</v>
      </c>
      <c r="C174" s="29">
        <v>88.74</v>
      </c>
      <c r="D174" s="20">
        <v>77.150000000000006</v>
      </c>
      <c r="E174" s="22">
        <f t="shared" si="34"/>
        <v>53674.559202380966</v>
      </c>
      <c r="F174" s="23">
        <v>65.06</v>
      </c>
      <c r="G174" s="22">
        <f t="shared" si="33"/>
        <v>45263.341823809526</v>
      </c>
      <c r="H174" s="20">
        <v>55200</v>
      </c>
      <c r="I174" s="24">
        <f t="shared" si="35"/>
        <v>155.22186603678082</v>
      </c>
      <c r="J174" s="20">
        <v>55500</v>
      </c>
      <c r="K174" s="24">
        <f t="shared" si="36"/>
        <v>156.06546313480681</v>
      </c>
      <c r="L174" s="20">
        <v>56000</v>
      </c>
      <c r="M174" s="24">
        <f t="shared" si="37"/>
        <v>157.47145829818345</v>
      </c>
      <c r="N174" s="20">
        <v>75000</v>
      </c>
      <c r="O174" s="24">
        <f t="shared" si="38"/>
        <v>210.89927450649569</v>
      </c>
      <c r="P174" s="22">
        <v>5000</v>
      </c>
      <c r="Q174" s="24">
        <f t="shared" si="39"/>
        <v>14.05995163376638</v>
      </c>
      <c r="R174" s="22">
        <v>5500</v>
      </c>
      <c r="S174" s="24">
        <f t="shared" si="40"/>
        <v>15.465946797143017</v>
      </c>
      <c r="T174" s="22">
        <v>350</v>
      </c>
      <c r="U174" s="24">
        <f t="shared" si="41"/>
        <v>0.98419661436364658</v>
      </c>
      <c r="V174" s="27">
        <v>85.35</v>
      </c>
      <c r="W174" s="22">
        <f t="shared" si="51"/>
        <v>59379.437821428568</v>
      </c>
      <c r="X174" s="24">
        <f t="shared" si="42"/>
        <v>166.97440476190474</v>
      </c>
      <c r="Y174" s="27">
        <v>81.7</v>
      </c>
      <c r="Z174" s="22">
        <f t="shared" si="46"/>
        <v>56840.071119047614</v>
      </c>
      <c r="AA174" s="24">
        <f t="shared" si="43"/>
        <v>159.83373015873013</v>
      </c>
      <c r="AB174" s="21">
        <v>83</v>
      </c>
      <c r="AC174" s="22">
        <f t="shared" si="47"/>
        <v>57744.503095238098</v>
      </c>
      <c r="AD174" s="24">
        <f t="shared" si="44"/>
        <v>162.37698412698413</v>
      </c>
      <c r="AE174" s="22" t="s">
        <v>56</v>
      </c>
      <c r="AF174" s="30">
        <v>163</v>
      </c>
      <c r="AG174" s="22">
        <v>43</v>
      </c>
      <c r="AH174" s="22">
        <v>93</v>
      </c>
      <c r="AI174" s="22">
        <v>113</v>
      </c>
      <c r="AJ174" s="22">
        <v>136</v>
      </c>
      <c r="AK174" s="22">
        <v>110</v>
      </c>
      <c r="AL174" s="22">
        <v>31</v>
      </c>
      <c r="AM174" s="22">
        <v>3</v>
      </c>
      <c r="AN174" s="25">
        <v>72.599999999999994</v>
      </c>
      <c r="AO174" s="25">
        <v>56.5</v>
      </c>
      <c r="AP174" s="26">
        <v>81.650000000000006</v>
      </c>
      <c r="AQ174" s="25">
        <f t="shared" si="48"/>
        <v>98.5</v>
      </c>
      <c r="AR174" s="25">
        <v>99.25</v>
      </c>
      <c r="AS174" s="25">
        <f t="shared" si="50"/>
        <v>100</v>
      </c>
      <c r="AT174" s="25">
        <v>64.53</v>
      </c>
    </row>
    <row r="175" spans="2:46">
      <c r="B175" s="11">
        <v>45958</v>
      </c>
      <c r="C175" s="29">
        <v>88.3</v>
      </c>
      <c r="D175" s="20">
        <v>75.55</v>
      </c>
      <c r="E175" s="22">
        <f t="shared" si="34"/>
        <v>52300.796633597871</v>
      </c>
      <c r="F175" s="23">
        <v>64.77</v>
      </c>
      <c r="G175" s="22">
        <f t="shared" si="33"/>
        <v>44838.15483730159</v>
      </c>
      <c r="H175" s="20">
        <v>52800</v>
      </c>
      <c r="I175" s="24">
        <f t="shared" si="35"/>
        <v>148.47308925257298</v>
      </c>
      <c r="J175" s="20">
        <v>53500</v>
      </c>
      <c r="K175" s="24">
        <f t="shared" si="36"/>
        <v>150.44148248130026</v>
      </c>
      <c r="L175" s="20">
        <v>54500</v>
      </c>
      <c r="M175" s="24">
        <f t="shared" si="37"/>
        <v>153.25347280805354</v>
      </c>
      <c r="N175" s="20">
        <v>75000</v>
      </c>
      <c r="O175" s="24">
        <f t="shared" si="38"/>
        <v>210.89927450649569</v>
      </c>
      <c r="P175" s="22">
        <v>4500</v>
      </c>
      <c r="Q175" s="24">
        <f t="shared" si="39"/>
        <v>12.653956470389742</v>
      </c>
      <c r="R175" s="22">
        <v>5500</v>
      </c>
      <c r="S175" s="24">
        <f t="shared" si="40"/>
        <v>15.465946797143017</v>
      </c>
      <c r="T175" s="22">
        <v>350</v>
      </c>
      <c r="U175" s="24">
        <f t="shared" si="41"/>
        <v>0.98419661436364658</v>
      </c>
      <c r="V175" s="27">
        <v>83.25</v>
      </c>
      <c r="W175" s="22">
        <f t="shared" si="51"/>
        <v>57631.255059523806</v>
      </c>
      <c r="X175" s="24">
        <f t="shared" si="42"/>
        <v>162.05853174603175</v>
      </c>
      <c r="Y175" s="27">
        <v>80.25</v>
      </c>
      <c r="Z175" s="22">
        <f t="shared" si="46"/>
        <v>55554.453075396828</v>
      </c>
      <c r="AA175" s="24">
        <f t="shared" si="43"/>
        <v>156.21858465608466</v>
      </c>
      <c r="AB175" s="21">
        <v>81.25</v>
      </c>
      <c r="AC175" s="22">
        <f t="shared" si="47"/>
        <v>56246.720403439154</v>
      </c>
      <c r="AD175" s="24">
        <f t="shared" si="44"/>
        <v>158.16523368606701</v>
      </c>
      <c r="AE175" s="22" t="s">
        <v>56</v>
      </c>
      <c r="AF175" s="30">
        <v>163</v>
      </c>
      <c r="AG175" s="22">
        <v>44</v>
      </c>
      <c r="AH175" s="22">
        <v>94</v>
      </c>
      <c r="AI175" s="22">
        <v>109</v>
      </c>
      <c r="AJ175" s="22">
        <v>136</v>
      </c>
      <c r="AK175" s="22">
        <v>110</v>
      </c>
      <c r="AL175" s="22">
        <v>32</v>
      </c>
      <c r="AM175" s="22">
        <v>3</v>
      </c>
      <c r="AN175" s="25">
        <v>69.7</v>
      </c>
      <c r="AO175" s="25">
        <v>54.8</v>
      </c>
      <c r="AP175" s="26">
        <v>78.569999999999993</v>
      </c>
      <c r="AQ175" s="25">
        <f t="shared" si="48"/>
        <v>98.5</v>
      </c>
      <c r="AR175" s="25">
        <v>99.25</v>
      </c>
      <c r="AS175" s="25">
        <f t="shared" si="50"/>
        <v>100</v>
      </c>
      <c r="AT175" s="25">
        <v>65.010000000000005</v>
      </c>
    </row>
    <row r="176" spans="2:46">
      <c r="B176" s="11">
        <v>45971</v>
      </c>
      <c r="C176" s="29">
        <v>88.71</v>
      </c>
      <c r="D176" s="20">
        <v>74.7</v>
      </c>
      <c r="E176" s="22">
        <f t="shared" si="34"/>
        <v>51952.483464285709</v>
      </c>
      <c r="F176" s="23">
        <v>62.49</v>
      </c>
      <c r="G176" s="22">
        <f t="shared" si="33"/>
        <v>43460.651829761897</v>
      </c>
      <c r="H176" s="20">
        <v>52300</v>
      </c>
      <c r="I176" s="24">
        <f t="shared" si="35"/>
        <v>147.06709408919633</v>
      </c>
      <c r="J176" s="20">
        <v>53000</v>
      </c>
      <c r="K176" s="24">
        <f t="shared" si="36"/>
        <v>149.03548731792361</v>
      </c>
      <c r="L176" s="20">
        <v>54000</v>
      </c>
      <c r="M176" s="24">
        <f t="shared" si="37"/>
        <v>151.8474776446769</v>
      </c>
      <c r="N176" s="20">
        <v>75000</v>
      </c>
      <c r="O176" s="24">
        <f t="shared" si="38"/>
        <v>210.89927450649569</v>
      </c>
      <c r="P176" s="22">
        <v>4500</v>
      </c>
      <c r="Q176" s="24">
        <f t="shared" si="39"/>
        <v>12.653956470389742</v>
      </c>
      <c r="R176" s="22">
        <v>5500</v>
      </c>
      <c r="S176" s="24">
        <f t="shared" si="40"/>
        <v>15.465946797143017</v>
      </c>
      <c r="T176" s="22">
        <v>350</v>
      </c>
      <c r="U176" s="24">
        <f t="shared" si="41"/>
        <v>0.98419661436364658</v>
      </c>
      <c r="V176" s="27">
        <v>82.25</v>
      </c>
      <c r="W176" s="22">
        <f t="shared" si="51"/>
        <v>57203.370347222219</v>
      </c>
      <c r="X176" s="24">
        <f t="shared" si="42"/>
        <v>160.85532407407408</v>
      </c>
      <c r="Y176" s="27">
        <v>82</v>
      </c>
      <c r="Z176" s="22">
        <f t="shared" si="46"/>
        <v>57029.499920634917</v>
      </c>
      <c r="AA176" s="24">
        <f t="shared" si="43"/>
        <v>160.3664021164021</v>
      </c>
      <c r="AB176" s="21">
        <v>81.25</v>
      </c>
      <c r="AC176" s="22">
        <f t="shared" si="47"/>
        <v>56507.88864087301</v>
      </c>
      <c r="AD176" s="24">
        <f t="shared" si="44"/>
        <v>158.89963624338623</v>
      </c>
      <c r="AE176" s="22" t="s">
        <v>56</v>
      </c>
      <c r="AF176" s="30">
        <v>163</v>
      </c>
      <c r="AG176" s="22">
        <v>44</v>
      </c>
      <c r="AH176" s="22">
        <v>94</v>
      </c>
      <c r="AI176" s="22">
        <v>109</v>
      </c>
      <c r="AJ176" s="22">
        <v>136</v>
      </c>
      <c r="AK176" s="22">
        <v>110</v>
      </c>
      <c r="AL176" s="22">
        <v>32</v>
      </c>
      <c r="AM176" s="22">
        <v>3</v>
      </c>
      <c r="AN176" s="25">
        <v>69.7</v>
      </c>
      <c r="AO176" s="25">
        <v>51.6</v>
      </c>
      <c r="AP176" s="26">
        <v>77.489999999999995</v>
      </c>
      <c r="AQ176" s="25">
        <f t="shared" si="48"/>
        <v>94</v>
      </c>
      <c r="AR176" s="25">
        <v>94.75</v>
      </c>
      <c r="AS176" s="25">
        <f t="shared" si="50"/>
        <v>95.5</v>
      </c>
      <c r="AT176" s="25">
        <v>64.39</v>
      </c>
    </row>
    <row r="177" spans="2:46">
      <c r="B177" s="11">
        <v>45992</v>
      </c>
      <c r="C177" s="29">
        <v>89.52</v>
      </c>
      <c r="D177" s="20">
        <v>74.95</v>
      </c>
      <c r="E177" s="22">
        <f t="shared" si="34"/>
        <v>52602.313158730169</v>
      </c>
      <c r="F177" s="23">
        <v>64.37</v>
      </c>
      <c r="G177" s="22">
        <f t="shared" si="33"/>
        <v>45176.929926984136</v>
      </c>
      <c r="H177" s="20">
        <v>52300</v>
      </c>
      <c r="I177" s="24">
        <f t="shared" si="35"/>
        <v>147.06709408919633</v>
      </c>
      <c r="J177" s="20">
        <v>53500</v>
      </c>
      <c r="K177" s="24">
        <f t="shared" si="36"/>
        <v>150.44148248130026</v>
      </c>
      <c r="L177" s="20">
        <v>54500</v>
      </c>
      <c r="M177" s="24">
        <f t="shared" si="37"/>
        <v>153.25347280805354</v>
      </c>
      <c r="N177" s="20">
        <v>71000</v>
      </c>
      <c r="O177" s="24">
        <f t="shared" si="38"/>
        <v>199.65131319948259</v>
      </c>
      <c r="P177" s="22">
        <v>4500</v>
      </c>
      <c r="Q177" s="24">
        <f t="shared" si="39"/>
        <v>12.653956470389742</v>
      </c>
      <c r="R177" s="22">
        <v>5500</v>
      </c>
      <c r="S177" s="24">
        <f t="shared" si="40"/>
        <v>15.465946797143017</v>
      </c>
      <c r="T177" s="22">
        <v>400</v>
      </c>
      <c r="U177" s="24">
        <f t="shared" si="41"/>
        <v>1.1247961307013103</v>
      </c>
      <c r="V177" s="27">
        <v>82.25</v>
      </c>
      <c r="W177" s="22">
        <f t="shared" si="51"/>
        <v>57725.687222222223</v>
      </c>
      <c r="X177" s="24">
        <f t="shared" si="42"/>
        <v>162.32407407407408</v>
      </c>
      <c r="Y177" s="27">
        <v>79.150000000000006</v>
      </c>
      <c r="Z177" s="22">
        <f t="shared" si="46"/>
        <v>55550.007825396824</v>
      </c>
      <c r="AA177" s="24">
        <f t="shared" si="43"/>
        <v>156.20608465608464</v>
      </c>
      <c r="AB177" s="21">
        <v>80.25</v>
      </c>
      <c r="AC177" s="22">
        <f t="shared" si="47"/>
        <v>56322.023095238095</v>
      </c>
      <c r="AD177" s="24">
        <f t="shared" si="44"/>
        <v>158.37698412698413</v>
      </c>
      <c r="AE177" s="22" t="s">
        <v>56</v>
      </c>
      <c r="AF177" s="30">
        <v>163</v>
      </c>
      <c r="AG177" s="22">
        <v>44</v>
      </c>
      <c r="AH177" s="22">
        <v>94</v>
      </c>
      <c r="AI177" s="22">
        <v>109</v>
      </c>
      <c r="AJ177" s="22">
        <v>136</v>
      </c>
      <c r="AK177" s="22">
        <v>110</v>
      </c>
      <c r="AL177" s="22">
        <v>32</v>
      </c>
      <c r="AM177" s="22">
        <v>3</v>
      </c>
      <c r="AN177" s="25">
        <v>70.599999999999994</v>
      </c>
      <c r="AO177" s="25">
        <v>50.7</v>
      </c>
      <c r="AP177" s="26">
        <v>77.95</v>
      </c>
      <c r="AQ177" s="25">
        <f t="shared" si="48"/>
        <v>91.5</v>
      </c>
      <c r="AR177" s="25">
        <v>92.25</v>
      </c>
      <c r="AS177" s="25">
        <f t="shared" si="50"/>
        <v>93</v>
      </c>
      <c r="AT177" s="25">
        <v>63.34</v>
      </c>
    </row>
    <row r="178" spans="2:46">
      <c r="B178" s="11">
        <v>46009</v>
      </c>
      <c r="C178" s="29">
        <v>89.58</v>
      </c>
      <c r="D178" s="20">
        <v>73.3</v>
      </c>
      <c r="E178" s="22">
        <f t="shared" si="34"/>
        <v>51478.770341269839</v>
      </c>
      <c r="F178" s="23">
        <v>63.75</v>
      </c>
      <c r="G178" s="22">
        <f t="shared" si="33"/>
        <v>44771.781845238096</v>
      </c>
      <c r="H178" s="20">
        <v>53200</v>
      </c>
      <c r="I178" s="24">
        <f t="shared" si="35"/>
        <v>149.59788538327427</v>
      </c>
      <c r="J178" s="20">
        <v>55000</v>
      </c>
      <c r="K178" s="24">
        <f t="shared" si="36"/>
        <v>154.65946797143019</v>
      </c>
      <c r="L178" s="20">
        <v>56000</v>
      </c>
      <c r="M178" s="24">
        <f t="shared" si="37"/>
        <v>157.47145829818345</v>
      </c>
      <c r="N178" s="20">
        <v>72000</v>
      </c>
      <c r="O178" s="24">
        <f t="shared" si="38"/>
        <v>202.46330352623588</v>
      </c>
      <c r="P178" s="22">
        <v>4500</v>
      </c>
      <c r="Q178" s="24">
        <f t="shared" si="39"/>
        <v>12.653956470389742</v>
      </c>
      <c r="R178" s="22">
        <v>5500</v>
      </c>
      <c r="S178" s="24">
        <f t="shared" si="40"/>
        <v>15.465946797143017</v>
      </c>
      <c r="T178" s="22">
        <v>400</v>
      </c>
      <c r="U178" s="24">
        <f t="shared" si="41"/>
        <v>1.1247961307013103</v>
      </c>
      <c r="V178" s="27">
        <v>81.25</v>
      </c>
      <c r="W178" s="22">
        <f t="shared" si="51"/>
        <v>57062.074900793654</v>
      </c>
      <c r="X178" s="24">
        <f t="shared" si="42"/>
        <v>160.45800264550266</v>
      </c>
      <c r="Y178" s="27">
        <v>78.45</v>
      </c>
      <c r="Z178" s="22">
        <f t="shared" si="46"/>
        <v>55095.628011904766</v>
      </c>
      <c r="AA178" s="24">
        <f t="shared" si="43"/>
        <v>154.92837301587304</v>
      </c>
      <c r="AB178" s="21">
        <v>79.25</v>
      </c>
      <c r="AC178" s="22">
        <f t="shared" si="47"/>
        <v>55657.469980158734</v>
      </c>
      <c r="AD178" s="24">
        <f t="shared" si="44"/>
        <v>156.50826719576722</v>
      </c>
      <c r="AE178" s="22" t="s">
        <v>56</v>
      </c>
      <c r="AF178" s="30">
        <v>163</v>
      </c>
      <c r="AG178" s="22">
        <v>44</v>
      </c>
      <c r="AH178" s="22">
        <v>94</v>
      </c>
      <c r="AI178" s="22">
        <v>116</v>
      </c>
      <c r="AJ178" s="22">
        <v>114</v>
      </c>
      <c r="AK178" s="22">
        <v>111</v>
      </c>
      <c r="AL178" s="22">
        <v>32</v>
      </c>
      <c r="AM178" s="22">
        <v>3</v>
      </c>
      <c r="AN178" s="25">
        <v>71.900000000000006</v>
      </c>
      <c r="AO178" s="25">
        <v>50.8</v>
      </c>
      <c r="AP178" s="26">
        <v>79.11</v>
      </c>
      <c r="AQ178" s="25">
        <f t="shared" si="48"/>
        <v>91.5</v>
      </c>
      <c r="AR178" s="25">
        <v>92.25</v>
      </c>
      <c r="AS178" s="25">
        <f t="shared" si="50"/>
        <v>93</v>
      </c>
      <c r="AT178" s="25">
        <v>60.47</v>
      </c>
    </row>
    <row r="179" spans="2:46">
      <c r="B179" s="11">
        <v>46020</v>
      </c>
      <c r="C179" s="29">
        <v>89.99</v>
      </c>
      <c r="D179" s="20">
        <v>74.3</v>
      </c>
      <c r="E179" s="22">
        <f t="shared" si="34"/>
        <v>52419.901109788363</v>
      </c>
      <c r="F179" s="23">
        <v>64.3</v>
      </c>
      <c r="G179" s="22">
        <f t="shared" si="33"/>
        <v>45364.732723544963</v>
      </c>
      <c r="H179" s="20">
        <v>54200</v>
      </c>
      <c r="I179" s="24">
        <f t="shared" si="35"/>
        <v>152.40987571002756</v>
      </c>
      <c r="J179" s="20">
        <v>55700</v>
      </c>
      <c r="K179" s="24">
        <f t="shared" si="36"/>
        <v>156.62786120015747</v>
      </c>
      <c r="L179" s="20">
        <v>56700</v>
      </c>
      <c r="M179" s="24">
        <f t="shared" si="37"/>
        <v>159.43985152691076</v>
      </c>
      <c r="N179" s="20">
        <v>72000</v>
      </c>
      <c r="O179" s="24">
        <f t="shared" si="38"/>
        <v>202.46330352623588</v>
      </c>
      <c r="P179" s="22">
        <v>6000</v>
      </c>
      <c r="Q179" s="24">
        <f t="shared" si="39"/>
        <v>16.871941960519656</v>
      </c>
      <c r="R179" s="22">
        <v>5500</v>
      </c>
      <c r="S179" s="24">
        <f t="shared" si="40"/>
        <v>15.465946797143017</v>
      </c>
      <c r="T179" s="22">
        <v>400</v>
      </c>
      <c r="U179" s="24">
        <f t="shared" si="41"/>
        <v>1.1247961307013103</v>
      </c>
      <c r="V179" s="27">
        <v>79.55</v>
      </c>
      <c r="W179" s="22">
        <f t="shared" si="51"/>
        <v>56123.864512566135</v>
      </c>
      <c r="X179" s="24">
        <f t="shared" si="42"/>
        <v>157.81976410934743</v>
      </c>
      <c r="Y179" s="27">
        <v>79.150000000000006</v>
      </c>
      <c r="Z179" s="22">
        <f t="shared" si="46"/>
        <v>55841.657777116401</v>
      </c>
      <c r="AA179" s="24">
        <f t="shared" si="43"/>
        <v>157.02620149911817</v>
      </c>
      <c r="AB179" s="21">
        <v>80</v>
      </c>
      <c r="AC179" s="22">
        <f t="shared" si="47"/>
        <v>56441.347089947092</v>
      </c>
      <c r="AD179" s="24">
        <f t="shared" si="44"/>
        <v>158.71252204585539</v>
      </c>
      <c r="AE179" s="22" t="s">
        <v>56</v>
      </c>
      <c r="AF179" s="30">
        <v>163</v>
      </c>
      <c r="AG179" s="22">
        <v>44</v>
      </c>
      <c r="AH179" s="22">
        <v>94</v>
      </c>
      <c r="AI179" s="22">
        <v>118</v>
      </c>
      <c r="AJ179" s="22">
        <v>116</v>
      </c>
      <c r="AK179" s="22">
        <v>114.5</v>
      </c>
      <c r="AL179" s="22">
        <v>32</v>
      </c>
      <c r="AM179" s="22">
        <v>3</v>
      </c>
      <c r="AN179" s="25">
        <v>75.3</v>
      </c>
      <c r="AO179" s="25">
        <v>50.2</v>
      </c>
      <c r="AP179" s="26">
        <v>81.83</v>
      </c>
      <c r="AQ179" s="25">
        <f t="shared" si="48"/>
        <v>91.5</v>
      </c>
      <c r="AR179" s="25">
        <v>92.25</v>
      </c>
      <c r="AS179" s="25">
        <f t="shared" si="50"/>
        <v>93</v>
      </c>
      <c r="AT179" s="25">
        <v>60.91</v>
      </c>
    </row>
    <row r="180" spans="2:46">
      <c r="B180" s="11">
        <v>46041</v>
      </c>
      <c r="C180" s="29">
        <v>90.99</v>
      </c>
      <c r="D180" s="20">
        <v>74.8</v>
      </c>
      <c r="E180" s="22">
        <f t="shared" si="34"/>
        <v>53359.087571428565</v>
      </c>
      <c r="F180" s="23">
        <v>64.900000000000006</v>
      </c>
      <c r="G180" s="22">
        <f t="shared" si="33"/>
        <v>46296.855392857135</v>
      </c>
      <c r="H180" s="20">
        <v>55500</v>
      </c>
      <c r="I180" s="24">
        <f t="shared" si="35"/>
        <v>156.06546313480681</v>
      </c>
      <c r="J180" s="20">
        <v>56800</v>
      </c>
      <c r="K180" s="24">
        <f t="shared" si="36"/>
        <v>159.72105055958608</v>
      </c>
      <c r="L180" s="20">
        <v>57800</v>
      </c>
      <c r="M180" s="24">
        <f t="shared" si="37"/>
        <v>162.53304088633934</v>
      </c>
      <c r="N180" s="20">
        <v>73000</v>
      </c>
      <c r="O180" s="24">
        <f t="shared" si="38"/>
        <v>205.27529385298914</v>
      </c>
      <c r="P180" s="22">
        <v>6000</v>
      </c>
      <c r="Q180" s="24">
        <f t="shared" si="39"/>
        <v>16.871941960519656</v>
      </c>
      <c r="R180" s="22">
        <v>5500</v>
      </c>
      <c r="S180" s="24">
        <f t="shared" si="40"/>
        <v>15.465946797143017</v>
      </c>
      <c r="T180" s="22">
        <v>400</v>
      </c>
      <c r="U180" s="24">
        <f t="shared" si="41"/>
        <v>1.1247961307013103</v>
      </c>
      <c r="V180" s="27">
        <v>85.56</v>
      </c>
      <c r="W180" s="22">
        <f t="shared" si="51"/>
        <v>61034.806585714286</v>
      </c>
      <c r="X180" s="24">
        <f t="shared" si="42"/>
        <v>171.62928571428571</v>
      </c>
      <c r="Y180" s="27">
        <v>79.150000000000006</v>
      </c>
      <c r="Z180" s="22">
        <f t="shared" si="46"/>
        <v>56462.189589285714</v>
      </c>
      <c r="AA180" s="24">
        <f t="shared" si="43"/>
        <v>158.77113095238096</v>
      </c>
      <c r="AB180" s="21">
        <v>81.75</v>
      </c>
      <c r="AC180" s="22">
        <f t="shared" si="47"/>
        <v>58316.917232142856</v>
      </c>
      <c r="AD180" s="24">
        <f t="shared" si="44"/>
        <v>163.98660714285714</v>
      </c>
      <c r="AE180" s="22" t="s">
        <v>56</v>
      </c>
      <c r="AF180" s="30">
        <v>163</v>
      </c>
      <c r="AG180" s="22">
        <v>45</v>
      </c>
      <c r="AH180" s="22">
        <v>98.5</v>
      </c>
      <c r="AI180" s="22">
        <v>121</v>
      </c>
      <c r="AJ180" s="22">
        <v>118</v>
      </c>
      <c r="AK180" s="22">
        <v>116</v>
      </c>
      <c r="AL180" s="22">
        <v>40</v>
      </c>
      <c r="AM180" s="22">
        <v>10</v>
      </c>
      <c r="AN180" s="25">
        <v>75.2</v>
      </c>
      <c r="AO180" s="25">
        <v>50.6</v>
      </c>
      <c r="AP180" s="26">
        <v>81.88</v>
      </c>
      <c r="AQ180" s="25">
        <f t="shared" si="48"/>
        <v>93.5</v>
      </c>
      <c r="AR180" s="25">
        <v>94.25</v>
      </c>
      <c r="AS180" s="25">
        <f t="shared" si="50"/>
        <v>95</v>
      </c>
      <c r="AT180" s="25">
        <v>66.86</v>
      </c>
    </row>
    <row r="181" spans="2:46">
      <c r="B181" s="11">
        <v>46049</v>
      </c>
      <c r="C181" s="29">
        <v>91.66</v>
      </c>
      <c r="D181" s="20">
        <v>74.5</v>
      </c>
      <c r="E181" s="22">
        <f t="shared" si="34"/>
        <v>53536.411494708991</v>
      </c>
      <c r="F181" s="23">
        <v>64.14</v>
      </c>
      <c r="G181" s="22">
        <f t="shared" si="33"/>
        <v>46091.616553968255</v>
      </c>
      <c r="H181" s="20">
        <v>55500</v>
      </c>
      <c r="I181" s="24">
        <f t="shared" si="35"/>
        <v>156.06546313480681</v>
      </c>
      <c r="J181" s="20">
        <v>56500</v>
      </c>
      <c r="K181" s="24">
        <f t="shared" si="36"/>
        <v>158.87745346156009</v>
      </c>
      <c r="L181" s="20">
        <v>57500</v>
      </c>
      <c r="M181" s="24">
        <f t="shared" si="37"/>
        <v>161.68944378831335</v>
      </c>
      <c r="N181" s="20">
        <v>73500</v>
      </c>
      <c r="O181" s="24">
        <f t="shared" si="38"/>
        <v>206.68128901636578</v>
      </c>
      <c r="P181" s="22">
        <v>7000</v>
      </c>
      <c r="Q181" s="24">
        <f t="shared" si="39"/>
        <v>19.683932287272931</v>
      </c>
      <c r="R181" s="22">
        <v>5500</v>
      </c>
      <c r="S181" s="24">
        <f t="shared" si="40"/>
        <v>15.465946797143017</v>
      </c>
      <c r="T181" s="22">
        <v>400</v>
      </c>
      <c r="U181" s="24">
        <f t="shared" si="41"/>
        <v>1.1247961307013103</v>
      </c>
      <c r="V181" s="27">
        <v>84.98</v>
      </c>
      <c r="W181" s="22">
        <f t="shared" si="51"/>
        <v>61067.439581481485</v>
      </c>
      <c r="X181" s="24">
        <f t="shared" si="42"/>
        <v>171.72104938271605</v>
      </c>
      <c r="Y181" s="27">
        <v>78.849999999999994</v>
      </c>
      <c r="Z181" s="22">
        <f t="shared" si="46"/>
        <v>56662.363038359785</v>
      </c>
      <c r="AA181" s="24">
        <f t="shared" si="43"/>
        <v>159.33401675485007</v>
      </c>
      <c r="AB181" s="21">
        <v>81</v>
      </c>
      <c r="AC181" s="22">
        <f t="shared" si="47"/>
        <v>58207.373571428572</v>
      </c>
      <c r="AD181" s="24">
        <f t="shared" si="44"/>
        <v>163.67857142857142</v>
      </c>
      <c r="AE181" s="30" t="s">
        <v>56</v>
      </c>
      <c r="AF181" s="30">
        <v>163</v>
      </c>
      <c r="AG181" s="22">
        <v>45</v>
      </c>
      <c r="AH181" s="22">
        <v>98.5</v>
      </c>
      <c r="AI181" s="22">
        <v>121</v>
      </c>
      <c r="AJ181" s="22">
        <v>118</v>
      </c>
      <c r="AK181" s="22">
        <v>116</v>
      </c>
      <c r="AL181" s="22">
        <v>40</v>
      </c>
      <c r="AM181" s="22">
        <v>10</v>
      </c>
      <c r="AN181" s="25">
        <v>76.099999999999994</v>
      </c>
      <c r="AO181" s="25">
        <v>50.6</v>
      </c>
      <c r="AP181" s="26">
        <v>82.65</v>
      </c>
      <c r="AQ181" s="25">
        <f t="shared" si="48"/>
        <v>94.5</v>
      </c>
      <c r="AR181" s="25">
        <v>95.25</v>
      </c>
      <c r="AS181" s="25">
        <f t="shared" si="50"/>
        <v>96</v>
      </c>
      <c r="AT181" s="25">
        <v>66.489999999999995</v>
      </c>
    </row>
    <row r="182" spans="2:46">
      <c r="B182" s="11">
        <v>46064</v>
      </c>
      <c r="C182" s="29">
        <v>90.76</v>
      </c>
      <c r="D182" s="20">
        <v>72.55</v>
      </c>
      <c r="E182" s="22">
        <f t="shared" si="34"/>
        <v>51623.213526455023</v>
      </c>
      <c r="F182" s="23">
        <v>61.9</v>
      </c>
      <c r="G182" s="22">
        <f t="shared" si="33"/>
        <v>44045.167708994712</v>
      </c>
      <c r="H182" s="20">
        <v>54700</v>
      </c>
      <c r="I182" s="24">
        <f t="shared" si="35"/>
        <v>153.81587087340418</v>
      </c>
      <c r="J182" s="20">
        <v>55600</v>
      </c>
      <c r="K182" s="24">
        <f t="shared" si="36"/>
        <v>156.34666216748215</v>
      </c>
      <c r="L182" s="20">
        <v>56600</v>
      </c>
      <c r="M182" s="24">
        <f t="shared" si="37"/>
        <v>159.15865249423541</v>
      </c>
      <c r="N182" s="20">
        <v>73000</v>
      </c>
      <c r="O182" s="24">
        <f t="shared" si="38"/>
        <v>205.27529385298914</v>
      </c>
      <c r="P182" s="22">
        <v>7000</v>
      </c>
      <c r="Q182" s="24">
        <f t="shared" si="39"/>
        <v>19.683932287272931</v>
      </c>
      <c r="R182" s="22">
        <v>5500</v>
      </c>
      <c r="S182" s="24">
        <f t="shared" si="40"/>
        <v>15.465946797143017</v>
      </c>
      <c r="T182" s="22">
        <v>400</v>
      </c>
      <c r="U182" s="24">
        <f t="shared" si="41"/>
        <v>1.1247961307013103</v>
      </c>
      <c r="V182" s="27">
        <v>83.9</v>
      </c>
      <c r="W182" s="22">
        <f t="shared" si="51"/>
        <v>59699.346862433871</v>
      </c>
      <c r="X182" s="24">
        <f t="shared" si="42"/>
        <v>167.87398589065259</v>
      </c>
      <c r="Y182" s="27">
        <v>77.5</v>
      </c>
      <c r="Z182" s="22">
        <f t="shared" si="46"/>
        <v>55145.403835978846</v>
      </c>
      <c r="AA182" s="24">
        <f t="shared" si="43"/>
        <v>155.06834215167552</v>
      </c>
      <c r="AB182" s="21">
        <v>78.75</v>
      </c>
      <c r="AC182" s="22">
        <f t="shared" si="47"/>
        <v>56034.84583333334</v>
      </c>
      <c r="AD182" s="24">
        <f t="shared" si="44"/>
        <v>157.56944444444446</v>
      </c>
      <c r="AE182" s="30" t="s">
        <v>57</v>
      </c>
      <c r="AF182" s="30" t="s">
        <v>58</v>
      </c>
      <c r="AG182" s="22">
        <v>45</v>
      </c>
      <c r="AH182" s="22">
        <v>98.5</v>
      </c>
      <c r="AI182" s="22">
        <v>121</v>
      </c>
      <c r="AJ182" s="22">
        <v>142</v>
      </c>
      <c r="AK182" s="22">
        <v>104</v>
      </c>
      <c r="AL182" s="22">
        <v>40</v>
      </c>
      <c r="AM182" s="22">
        <v>10</v>
      </c>
      <c r="AN182" s="25">
        <v>74.900000000000006</v>
      </c>
      <c r="AO182" s="25">
        <v>52.2</v>
      </c>
      <c r="AP182" s="26">
        <v>82.16</v>
      </c>
      <c r="AQ182" s="25">
        <f t="shared" si="48"/>
        <v>100</v>
      </c>
      <c r="AR182" s="25">
        <v>100.75</v>
      </c>
      <c r="AS182" s="25">
        <f t="shared" si="50"/>
        <v>101.5</v>
      </c>
      <c r="AT182" s="25">
        <v>69.33</v>
      </c>
    </row>
    <row r="183" spans="2:46">
      <c r="B183" s="11">
        <v>46077</v>
      </c>
      <c r="C183" s="29">
        <v>90.96</v>
      </c>
      <c r="D183" s="20">
        <v>71.89</v>
      </c>
      <c r="E183" s="22">
        <f t="shared" si="34"/>
        <v>51266.310911111104</v>
      </c>
      <c r="F183" s="23">
        <v>65.709999999999994</v>
      </c>
      <c r="G183" s="22">
        <f t="shared" si="33"/>
        <v>46859.2195015873</v>
      </c>
      <c r="H183" s="20">
        <v>54300</v>
      </c>
      <c r="I183" s="24">
        <f t="shared" si="35"/>
        <v>152.69107474270288</v>
      </c>
      <c r="J183" s="20">
        <v>55200</v>
      </c>
      <c r="K183" s="24">
        <f t="shared" si="36"/>
        <v>155.22186603678082</v>
      </c>
      <c r="L183" s="20">
        <v>56200</v>
      </c>
      <c r="M183" s="24">
        <f t="shared" si="37"/>
        <v>158.03385636353411</v>
      </c>
      <c r="N183" s="20">
        <v>73000</v>
      </c>
      <c r="O183" s="24">
        <f t="shared" si="38"/>
        <v>205.27529385298914</v>
      </c>
      <c r="P183" s="22">
        <v>8000</v>
      </c>
      <c r="Q183" s="24">
        <f t="shared" si="39"/>
        <v>22.495922614026206</v>
      </c>
      <c r="R183" s="22">
        <v>5500</v>
      </c>
      <c r="S183" s="24">
        <f t="shared" si="40"/>
        <v>15.465946797143017</v>
      </c>
      <c r="T183" s="22">
        <v>400</v>
      </c>
      <c r="U183" s="24">
        <f t="shared" si="41"/>
        <v>1.1247961307013103</v>
      </c>
      <c r="V183" s="27">
        <v>84.53</v>
      </c>
      <c r="W183" s="22">
        <f t="shared" si="51"/>
        <v>60280.167774603171</v>
      </c>
      <c r="X183" s="24">
        <f t="shared" si="42"/>
        <v>169.50724867724867</v>
      </c>
      <c r="Y183" s="27">
        <v>81.430000000000007</v>
      </c>
      <c r="Z183" s="22">
        <f t="shared" si="46"/>
        <v>58069.490853968251</v>
      </c>
      <c r="AA183" s="24">
        <f t="shared" si="43"/>
        <v>163.29084656084655</v>
      </c>
      <c r="AB183" s="21">
        <v>81.5</v>
      </c>
      <c r="AC183" s="22">
        <f t="shared" si="47"/>
        <v>58119.409365079366</v>
      </c>
      <c r="AD183" s="24">
        <f t="shared" si="44"/>
        <v>163.43121693121694</v>
      </c>
      <c r="AE183" s="30" t="s">
        <v>57</v>
      </c>
      <c r="AF183" s="30" t="s">
        <v>58</v>
      </c>
      <c r="AG183" s="22">
        <v>52</v>
      </c>
      <c r="AH183" s="22">
        <v>102</v>
      </c>
      <c r="AI183" s="22">
        <v>127</v>
      </c>
      <c r="AJ183" s="22">
        <v>123</v>
      </c>
      <c r="AK183" s="22">
        <v>121</v>
      </c>
      <c r="AL183" s="22">
        <v>40</v>
      </c>
      <c r="AM183" s="22">
        <v>10</v>
      </c>
      <c r="AN183" s="25">
        <v>76</v>
      </c>
      <c r="AO183" s="25">
        <v>51.8</v>
      </c>
      <c r="AP183" s="26">
        <v>82.97</v>
      </c>
      <c r="AQ183" s="25">
        <f t="shared" si="48"/>
        <v>100</v>
      </c>
      <c r="AR183" s="25">
        <v>100.75</v>
      </c>
      <c r="AS183" s="25">
        <f t="shared" si="50"/>
        <v>101.5</v>
      </c>
      <c r="AT183" s="25">
        <v>71.91</v>
      </c>
    </row>
    <row r="184" spans="2:46">
      <c r="B184" s="11">
        <v>46085</v>
      </c>
      <c r="C184" s="29">
        <v>92.25</v>
      </c>
      <c r="D184" s="20">
        <v>75.900000000000006</v>
      </c>
      <c r="E184" s="22">
        <f t="shared" si="34"/>
        <v>54893.545535714293</v>
      </c>
      <c r="F184" s="23">
        <v>64.209999999999994</v>
      </c>
      <c r="G184" s="22">
        <f t="shared" si="33"/>
        <v>46438.926994047615</v>
      </c>
      <c r="H184" s="20">
        <v>54600</v>
      </c>
      <c r="I184" s="24">
        <f t="shared" si="35"/>
        <v>153.53467184072886</v>
      </c>
      <c r="J184" s="20">
        <v>55300</v>
      </c>
      <c r="K184" s="24">
        <f t="shared" si="36"/>
        <v>155.50306506945617</v>
      </c>
      <c r="L184" s="20">
        <v>56300</v>
      </c>
      <c r="M184" s="24">
        <f t="shared" si="37"/>
        <v>158.31505539620943</v>
      </c>
      <c r="N184" s="20">
        <v>73000</v>
      </c>
      <c r="O184" s="24">
        <f t="shared" si="38"/>
        <v>205.27529385298914</v>
      </c>
      <c r="P184" s="22">
        <v>8000</v>
      </c>
      <c r="Q184" s="24">
        <f t="shared" si="39"/>
        <v>22.495922614026206</v>
      </c>
      <c r="R184" s="22">
        <v>5500</v>
      </c>
      <c r="S184" s="24">
        <f t="shared" si="40"/>
        <v>15.465946797143017</v>
      </c>
      <c r="T184" s="22">
        <v>400</v>
      </c>
      <c r="U184" s="24">
        <f t="shared" si="41"/>
        <v>1.1247961307013103</v>
      </c>
      <c r="V184" s="27">
        <v>85.56</v>
      </c>
      <c r="W184" s="22">
        <f t="shared" si="51"/>
        <v>61879.996785714291</v>
      </c>
      <c r="X184" s="24">
        <f t="shared" si="42"/>
        <v>174.00595238095238</v>
      </c>
      <c r="Y184" s="27">
        <v>82.3</v>
      </c>
      <c r="Z184" s="22">
        <f t="shared" si="46"/>
        <v>59522.250297619037</v>
      </c>
      <c r="AA184" s="24">
        <f t="shared" si="43"/>
        <v>167.37599206349202</v>
      </c>
      <c r="AB184" s="21">
        <v>81.25</v>
      </c>
      <c r="AC184" s="22">
        <f t="shared" si="47"/>
        <v>58762.853422619046</v>
      </c>
      <c r="AD184" s="24">
        <f t="shared" si="44"/>
        <v>165.24057539682539</v>
      </c>
      <c r="AE184" s="30" t="s">
        <v>57</v>
      </c>
      <c r="AF184" s="30" t="s">
        <v>59</v>
      </c>
      <c r="AG184" s="22">
        <v>52</v>
      </c>
      <c r="AH184" s="22">
        <v>102</v>
      </c>
      <c r="AI184" s="22">
        <v>127</v>
      </c>
      <c r="AJ184" s="22">
        <v>123</v>
      </c>
      <c r="AK184" s="22">
        <v>121</v>
      </c>
      <c r="AL184" s="22">
        <v>40</v>
      </c>
      <c r="AM184" s="22">
        <v>10</v>
      </c>
      <c r="AN184" s="25">
        <v>84.2</v>
      </c>
      <c r="AO184" s="25">
        <v>52.6</v>
      </c>
      <c r="AP184" s="26">
        <v>90.3</v>
      </c>
      <c r="AQ184" s="25">
        <f t="shared" si="48"/>
        <v>107.5</v>
      </c>
      <c r="AR184" s="25">
        <f>108.25</f>
        <v>108.25</v>
      </c>
      <c r="AS184" s="25">
        <f t="shared" si="50"/>
        <v>109</v>
      </c>
      <c r="AT184" s="25">
        <v>83.95</v>
      </c>
    </row>
    <row r="185" spans="2:46">
      <c r="B185" s="11">
        <v>46099</v>
      </c>
      <c r="C185" s="29">
        <v>92.44</v>
      </c>
      <c r="D185" s="20">
        <v>76.45</v>
      </c>
      <c r="E185" s="22">
        <f t="shared" si="34"/>
        <v>55405.2040026455</v>
      </c>
      <c r="F185" s="23">
        <v>68.540000000000006</v>
      </c>
      <c r="G185" s="22">
        <f t="shared" si="33"/>
        <v>49672.631554497348</v>
      </c>
      <c r="H185" s="20">
        <v>54750</v>
      </c>
      <c r="I185" s="24">
        <f t="shared" si="35"/>
        <v>153.95647038974187</v>
      </c>
      <c r="J185" s="20">
        <v>55500</v>
      </c>
      <c r="K185" s="24">
        <f t="shared" si="36"/>
        <v>156.06546313480681</v>
      </c>
      <c r="L185" s="20">
        <v>56500</v>
      </c>
      <c r="M185" s="24">
        <f t="shared" si="37"/>
        <v>158.87745346156009</v>
      </c>
      <c r="N185" s="20">
        <v>73000</v>
      </c>
      <c r="O185" s="24">
        <f t="shared" si="38"/>
        <v>205.27529385298914</v>
      </c>
      <c r="P185" s="22">
        <v>8000</v>
      </c>
      <c r="Q185" s="24">
        <f t="shared" si="39"/>
        <v>22.495922614026206</v>
      </c>
      <c r="R185" s="22">
        <v>5500</v>
      </c>
      <c r="S185" s="24">
        <f t="shared" si="40"/>
        <v>15.465946797143017</v>
      </c>
      <c r="T185" s="22">
        <v>400</v>
      </c>
      <c r="U185" s="24">
        <f t="shared" si="41"/>
        <v>1.1247961307013103</v>
      </c>
      <c r="V185" s="27">
        <v>88.75</v>
      </c>
      <c r="W185" s="22">
        <f t="shared" si="51"/>
        <v>64319.317923280418</v>
      </c>
      <c r="X185" s="24">
        <f t="shared" si="42"/>
        <v>180.86529982363314</v>
      </c>
      <c r="Y185" s="27">
        <v>82.5</v>
      </c>
      <c r="Z185" s="22">
        <f t="shared" si="46"/>
        <v>59789.78849206349</v>
      </c>
      <c r="AA185" s="24">
        <f t="shared" si="43"/>
        <v>168.12830687830686</v>
      </c>
      <c r="AB185" s="21">
        <v>82.35</v>
      </c>
      <c r="AC185" s="22">
        <f t="shared" si="47"/>
        <v>59681.079785714282</v>
      </c>
      <c r="AD185" s="24">
        <f t="shared" si="44"/>
        <v>167.82261904761904</v>
      </c>
      <c r="AE185" s="30" t="s">
        <v>60</v>
      </c>
      <c r="AF185" s="30" t="s">
        <v>61</v>
      </c>
      <c r="AG185" s="22">
        <v>52</v>
      </c>
      <c r="AH185" s="22">
        <v>100</v>
      </c>
      <c r="AI185" s="22">
        <v>125</v>
      </c>
      <c r="AJ185" s="22">
        <v>126</v>
      </c>
      <c r="AK185" s="22">
        <v>120</v>
      </c>
      <c r="AL185" s="22">
        <v>40</v>
      </c>
      <c r="AM185" s="22">
        <v>10</v>
      </c>
      <c r="AN185" s="25">
        <v>106.1</v>
      </c>
      <c r="AO185" s="25">
        <v>69.900000000000006</v>
      </c>
      <c r="AP185" s="26">
        <v>115.01</v>
      </c>
      <c r="AQ185" s="25">
        <f t="shared" si="48"/>
        <v>133.5</v>
      </c>
      <c r="AR185" s="25">
        <v>134.25</v>
      </c>
      <c r="AS185" s="25">
        <f t="shared" si="50"/>
        <v>135</v>
      </c>
      <c r="AT185" s="25">
        <v>101</v>
      </c>
    </row>
    <row r="186" spans="2:46">
      <c r="B186" s="11">
        <v>46115</v>
      </c>
      <c r="C186" s="29">
        <v>92.67</v>
      </c>
      <c r="D186" s="20">
        <v>80.2</v>
      </c>
      <c r="E186" s="22">
        <f t="shared" si="34"/>
        <v>58267.537325396828</v>
      </c>
      <c r="F186" s="23">
        <v>69.92</v>
      </c>
      <c r="G186" s="22">
        <f t="shared" si="33"/>
        <v>50798.830546031742</v>
      </c>
      <c r="H186" s="20">
        <v>57250</v>
      </c>
      <c r="I186" s="24">
        <f t="shared" si="35"/>
        <v>160.98644620662506</v>
      </c>
      <c r="J186" s="20">
        <v>58000</v>
      </c>
      <c r="K186" s="24">
        <f t="shared" si="36"/>
        <v>163.09543895169</v>
      </c>
      <c r="L186" s="20">
        <v>59000</v>
      </c>
      <c r="M186" s="24">
        <f t="shared" si="37"/>
        <v>165.90742927844329</v>
      </c>
      <c r="N186" s="20">
        <v>77000</v>
      </c>
      <c r="O186" s="24">
        <f t="shared" si="38"/>
        <v>216.52325516000224</v>
      </c>
      <c r="P186" s="22">
        <v>8000</v>
      </c>
      <c r="Q186" s="24">
        <f t="shared" si="39"/>
        <v>22.495922614026206</v>
      </c>
      <c r="R186" s="22">
        <v>5500</v>
      </c>
      <c r="S186" s="24">
        <f t="shared" si="40"/>
        <v>15.465946797143017</v>
      </c>
      <c r="T186" s="22">
        <v>400</v>
      </c>
      <c r="U186" s="24">
        <f t="shared" si="41"/>
        <v>1.1247961307013103</v>
      </c>
      <c r="V186" s="27">
        <v>92.45</v>
      </c>
      <c r="W186" s="22">
        <f t="shared" si="51"/>
        <v>67167.504061507934</v>
      </c>
      <c r="X186" s="24">
        <f t="shared" si="42"/>
        <v>188.87437169312167</v>
      </c>
      <c r="Y186" s="27">
        <v>86.4</v>
      </c>
      <c r="Z186" s="22">
        <f t="shared" si="46"/>
        <v>62772.010285714285</v>
      </c>
      <c r="AA186" s="24">
        <f t="shared" si="43"/>
        <v>176.51428571428571</v>
      </c>
      <c r="AB186" s="21">
        <v>87.57</v>
      </c>
      <c r="AC186" s="22">
        <f t="shared" si="47"/>
        <v>63622.047924999984</v>
      </c>
      <c r="AD186" s="24">
        <f t="shared" si="44"/>
        <v>178.90458333333328</v>
      </c>
      <c r="AE186" s="30" t="s">
        <v>60</v>
      </c>
      <c r="AF186" s="30" t="s">
        <v>62</v>
      </c>
      <c r="AG186" s="22">
        <v>52</v>
      </c>
      <c r="AH186" s="22">
        <v>100</v>
      </c>
      <c r="AI186" s="22">
        <v>125</v>
      </c>
      <c r="AJ186" s="22">
        <v>126</v>
      </c>
      <c r="AK186" s="22">
        <v>124</v>
      </c>
      <c r="AL186" s="22">
        <v>40</v>
      </c>
      <c r="AM186" s="22">
        <v>10</v>
      </c>
      <c r="AN186" s="25">
        <v>98.1</v>
      </c>
      <c r="AO186" s="25">
        <v>75.5</v>
      </c>
      <c r="AP186" s="26">
        <v>110.05</v>
      </c>
      <c r="AQ186" s="25">
        <f t="shared" si="48"/>
        <v>132</v>
      </c>
      <c r="AR186" s="25">
        <f>137.25-4.5</f>
        <v>132.75</v>
      </c>
      <c r="AS186" s="25">
        <f t="shared" si="50"/>
        <v>133.5</v>
      </c>
      <c r="AT186" s="25">
        <v>105.26</v>
      </c>
    </row>
    <row r="187" spans="2:46">
      <c r="B187" s="11">
        <v>46126</v>
      </c>
      <c r="C187" s="29">
        <v>93.23</v>
      </c>
      <c r="D187" s="20">
        <v>84.25</v>
      </c>
      <c r="E187" s="22">
        <f t="shared" si="34"/>
        <v>61579.864011243393</v>
      </c>
      <c r="F187" s="20">
        <v>76.75</v>
      </c>
      <c r="G187" s="22">
        <f t="shared" si="33"/>
        <v>56097.977007275127</v>
      </c>
      <c r="H187" s="20">
        <v>60000</v>
      </c>
      <c r="I187" s="24">
        <f t="shared" si="35"/>
        <v>168.71941960519655</v>
      </c>
      <c r="J187" s="20">
        <v>60500</v>
      </c>
      <c r="K187" s="24">
        <f t="shared" si="36"/>
        <v>170.12541476857319</v>
      </c>
      <c r="L187" s="20">
        <v>61500</v>
      </c>
      <c r="M187" s="24">
        <f t="shared" si="37"/>
        <v>172.93740509532648</v>
      </c>
      <c r="N187" s="20">
        <v>81000</v>
      </c>
      <c r="O187" s="24">
        <f t="shared" si="38"/>
        <v>227.77121646701536</v>
      </c>
      <c r="P187" s="22">
        <v>8000</v>
      </c>
      <c r="Q187" s="24">
        <f t="shared" si="39"/>
        <v>22.495922614026206</v>
      </c>
      <c r="R187" s="22">
        <v>5500</v>
      </c>
      <c r="S187" s="24">
        <f t="shared" si="40"/>
        <v>15.465946797143017</v>
      </c>
      <c r="T187" s="22">
        <v>400</v>
      </c>
      <c r="U187" s="24">
        <f t="shared" si="41"/>
        <v>1.1247961307013103</v>
      </c>
      <c r="V187" s="27">
        <v>95.75</v>
      </c>
      <c r="W187" s="22">
        <f t="shared" si="51"/>
        <v>69985.424083994716</v>
      </c>
      <c r="X187" s="24">
        <f t="shared" si="42"/>
        <v>196.79833553791889</v>
      </c>
      <c r="Y187" s="27">
        <v>90.4</v>
      </c>
      <c r="Z187" s="22">
        <f t="shared" si="46"/>
        <v>66075.011354497357</v>
      </c>
      <c r="AA187" s="24">
        <f t="shared" si="43"/>
        <v>185.80229276895943</v>
      </c>
      <c r="AB187" s="21">
        <v>90.75</v>
      </c>
      <c r="AC187" s="22">
        <f t="shared" si="47"/>
        <v>66330.832748015891</v>
      </c>
      <c r="AD187" s="24">
        <f t="shared" si="44"/>
        <v>186.52166005291011</v>
      </c>
      <c r="AE187" s="30" t="s">
        <v>60</v>
      </c>
      <c r="AF187" s="30" t="s">
        <v>62</v>
      </c>
      <c r="AG187" s="22">
        <v>54</v>
      </c>
      <c r="AH187" s="22">
        <v>108</v>
      </c>
      <c r="AI187" s="22">
        <v>125</v>
      </c>
      <c r="AJ187" s="22">
        <v>136</v>
      </c>
      <c r="AK187" s="22">
        <v>134</v>
      </c>
      <c r="AL187" s="22">
        <v>40</v>
      </c>
      <c r="AM187" s="22">
        <v>10</v>
      </c>
      <c r="AN187" s="25">
        <v>96.7</v>
      </c>
      <c r="AO187" s="25">
        <v>75.5</v>
      </c>
      <c r="AP187" s="26">
        <v>108.85</v>
      </c>
      <c r="AQ187" s="25">
        <f t="shared" si="48"/>
        <v>123</v>
      </c>
      <c r="AR187" s="25">
        <v>123.75</v>
      </c>
      <c r="AS187" s="25">
        <f t="shared" si="50"/>
        <v>124.5</v>
      </c>
      <c r="AT187" s="25">
        <v>98.94</v>
      </c>
    </row>
    <row r="188" spans="2:46">
      <c r="B188" s="11">
        <v>46143</v>
      </c>
      <c r="C188" s="29">
        <v>94.91</v>
      </c>
      <c r="D188" s="20">
        <v>89.55</v>
      </c>
      <c r="E188" s="22">
        <f t="shared" si="34"/>
        <v>66633.203827380945</v>
      </c>
      <c r="F188" s="20">
        <v>79.56</v>
      </c>
      <c r="G188" s="22">
        <f t="shared" ref="G188:G192" si="52">C188*$H$4*F188/0.4536/100</f>
        <v>59199.75093809524</v>
      </c>
      <c r="H188" s="20">
        <v>61000</v>
      </c>
      <c r="I188" s="24">
        <f t="shared" si="35"/>
        <v>171.53140993194984</v>
      </c>
      <c r="J188" s="20">
        <v>62000</v>
      </c>
      <c r="K188" s="24">
        <f t="shared" si="36"/>
        <v>174.3434002587031</v>
      </c>
      <c r="L188" s="20">
        <v>63000</v>
      </c>
      <c r="M188" s="24">
        <f t="shared" si="37"/>
        <v>177.15539058545639</v>
      </c>
      <c r="N188" s="20">
        <v>83000</v>
      </c>
      <c r="O188" s="24">
        <f t="shared" si="38"/>
        <v>233.39519712052191</v>
      </c>
      <c r="P188" s="22">
        <v>5500</v>
      </c>
      <c r="Q188" s="24">
        <f t="shared" si="39"/>
        <v>15.465946797143017</v>
      </c>
      <c r="R188" s="22">
        <v>5500</v>
      </c>
      <c r="S188" s="24">
        <f t="shared" si="40"/>
        <v>15.465946797143017</v>
      </c>
      <c r="T188" s="22">
        <v>400</v>
      </c>
      <c r="U188" s="24">
        <f t="shared" si="41"/>
        <v>1.1247961307013103</v>
      </c>
      <c r="V188" s="27">
        <v>97.15</v>
      </c>
      <c r="W188" s="22">
        <f t="shared" si="51"/>
        <v>72288.283102513233</v>
      </c>
      <c r="X188" s="24">
        <f t="shared" si="42"/>
        <v>203.2739528218695</v>
      </c>
      <c r="Y188" s="27">
        <v>94.05</v>
      </c>
      <c r="Z188" s="22">
        <f t="shared" si="46"/>
        <v>69981.606029761911</v>
      </c>
      <c r="AA188" s="24">
        <f t="shared" si="43"/>
        <v>196.78759920634923</v>
      </c>
      <c r="AB188" s="21">
        <v>94.05</v>
      </c>
      <c r="AC188" s="22">
        <f t="shared" si="47"/>
        <v>69981.606029761911</v>
      </c>
      <c r="AD188" s="24">
        <f t="shared" si="44"/>
        <v>196.78759920634923</v>
      </c>
      <c r="AE188" s="30" t="s">
        <v>60</v>
      </c>
      <c r="AF188" s="30" t="s">
        <v>63</v>
      </c>
      <c r="AG188" s="22">
        <v>54</v>
      </c>
      <c r="AH188" s="22">
        <v>108</v>
      </c>
      <c r="AI188" s="22">
        <v>125</v>
      </c>
      <c r="AJ188" s="22">
        <v>142</v>
      </c>
      <c r="AK188" s="22">
        <v>120</v>
      </c>
      <c r="AL188" s="22">
        <v>40</v>
      </c>
      <c r="AM188" s="22">
        <v>10</v>
      </c>
      <c r="AN188" s="25">
        <v>105.6</v>
      </c>
      <c r="AO188" s="25">
        <v>69</v>
      </c>
      <c r="AP188" s="26">
        <v>114.27</v>
      </c>
      <c r="AQ188" s="25">
        <f t="shared" si="48"/>
        <v>126</v>
      </c>
      <c r="AR188" s="25">
        <f>123.75+3</f>
        <v>126.75</v>
      </c>
      <c r="AS188" s="25">
        <f t="shared" si="50"/>
        <v>127.5</v>
      </c>
      <c r="AT188" s="25">
        <v>114.6</v>
      </c>
    </row>
    <row r="189" spans="2:46">
      <c r="B189" s="11">
        <v>46153</v>
      </c>
      <c r="C189" s="29">
        <v>95.14</v>
      </c>
      <c r="D189" s="20">
        <v>93.8</v>
      </c>
      <c r="E189" s="22">
        <f t="shared" si="34"/>
        <v>69964.722703703708</v>
      </c>
      <c r="F189" s="20">
        <v>84.65</v>
      </c>
      <c r="G189" s="22">
        <f t="shared" si="52"/>
        <v>63139.805723544981</v>
      </c>
      <c r="H189" s="20">
        <v>67000</v>
      </c>
      <c r="I189" s="24">
        <f t="shared" si="35"/>
        <v>188.40335189246949</v>
      </c>
      <c r="J189" s="20">
        <v>68000</v>
      </c>
      <c r="K189" s="24">
        <f t="shared" si="36"/>
        <v>191.21534221922278</v>
      </c>
      <c r="L189" s="20">
        <v>69000</v>
      </c>
      <c r="M189" s="24">
        <f t="shared" si="37"/>
        <v>194.02733254597604</v>
      </c>
      <c r="N189" s="20">
        <v>85000</v>
      </c>
      <c r="O189" s="24">
        <f t="shared" si="38"/>
        <v>239.01917777402846</v>
      </c>
      <c r="P189" s="22">
        <v>18000</v>
      </c>
      <c r="Q189" s="24">
        <f t="shared" si="39"/>
        <v>50.615825881558969</v>
      </c>
      <c r="R189" s="22">
        <v>16000</v>
      </c>
      <c r="S189" s="24">
        <f t="shared" si="40"/>
        <v>44.991845228052412</v>
      </c>
      <c r="T189" s="22">
        <v>400</v>
      </c>
      <c r="U189" s="24">
        <f t="shared" si="41"/>
        <v>1.1247961307013103</v>
      </c>
      <c r="V189" s="27">
        <v>103.5</v>
      </c>
      <c r="W189" s="22">
        <f t="shared" si="51"/>
        <v>77199.880595238094</v>
      </c>
      <c r="X189" s="24">
        <f t="shared" si="42"/>
        <v>217.08531746031744</v>
      </c>
      <c r="Y189" s="27">
        <v>94.05</v>
      </c>
      <c r="Z189" s="22">
        <f t="shared" si="46"/>
        <v>70151.195845238108</v>
      </c>
      <c r="AA189" s="24">
        <f t="shared" si="43"/>
        <v>197.26448412698417</v>
      </c>
      <c r="AB189" s="21">
        <v>94.05</v>
      </c>
      <c r="AC189" s="22">
        <f t="shared" si="47"/>
        <v>70151.195845238108</v>
      </c>
      <c r="AD189" s="24">
        <f t="shared" si="44"/>
        <v>197.26448412698417</v>
      </c>
      <c r="AE189" s="30" t="s">
        <v>60</v>
      </c>
      <c r="AF189" s="30" t="s">
        <v>63</v>
      </c>
      <c r="AG189" s="22">
        <v>54</v>
      </c>
      <c r="AH189" s="22">
        <v>108</v>
      </c>
      <c r="AI189" s="22">
        <v>125</v>
      </c>
      <c r="AJ189" s="22">
        <v>142</v>
      </c>
      <c r="AK189" s="22">
        <v>120</v>
      </c>
      <c r="AL189" s="22">
        <v>40</v>
      </c>
      <c r="AM189" s="22">
        <v>10</v>
      </c>
      <c r="AN189" s="25">
        <v>99.6</v>
      </c>
      <c r="AO189" s="25">
        <v>69</v>
      </c>
      <c r="AP189" s="26">
        <v>109.11</v>
      </c>
      <c r="AQ189" s="25">
        <f t="shared" si="48"/>
        <v>126</v>
      </c>
      <c r="AR189" s="25">
        <f>123.75+3</f>
        <v>126.75</v>
      </c>
      <c r="AS189" s="25">
        <f t="shared" si="50"/>
        <v>127.5</v>
      </c>
      <c r="AT189" s="25">
        <v>105.65</v>
      </c>
    </row>
    <row r="190" spans="2:46">
      <c r="B190" s="11">
        <v>46177</v>
      </c>
      <c r="C190" s="29">
        <v>95.75</v>
      </c>
      <c r="D190" s="20">
        <v>86.8</v>
      </c>
      <c r="E190" s="22">
        <f t="shared" si="34"/>
        <v>65158.584259259253</v>
      </c>
      <c r="F190" s="20">
        <v>80.27</v>
      </c>
      <c r="G190" s="22">
        <f t="shared" si="52"/>
        <v>60256.676941137564</v>
      </c>
      <c r="H190" s="20">
        <v>63000</v>
      </c>
      <c r="I190" s="24">
        <f t="shared" si="35"/>
        <v>177.15539058545639</v>
      </c>
      <c r="J190" s="20">
        <v>64700</v>
      </c>
      <c r="K190" s="24">
        <f t="shared" si="36"/>
        <v>181.93577414093696</v>
      </c>
      <c r="L190" s="20">
        <v>65700</v>
      </c>
      <c r="M190" s="24">
        <f t="shared" si="37"/>
        <v>184.74776446769022</v>
      </c>
      <c r="N190" s="20">
        <v>85000</v>
      </c>
      <c r="O190" s="24">
        <f t="shared" si="38"/>
        <v>239.01917777402846</v>
      </c>
      <c r="P190" s="22">
        <v>19000</v>
      </c>
      <c r="Q190" s="24">
        <f t="shared" si="39"/>
        <v>53.427816208312244</v>
      </c>
      <c r="R190" s="22">
        <v>16000</v>
      </c>
      <c r="S190" s="24">
        <f t="shared" si="40"/>
        <v>44.991845228052412</v>
      </c>
      <c r="T190" s="22">
        <v>300</v>
      </c>
      <c r="U190" s="24">
        <f t="shared" si="41"/>
        <v>0.84359709802598282</v>
      </c>
      <c r="V190" s="27">
        <v>94.85</v>
      </c>
      <c r="W190" s="30">
        <f t="shared" si="51"/>
        <v>71201.517476851848</v>
      </c>
      <c r="X190" s="24">
        <f t="shared" si="42"/>
        <v>200.21797839506172</v>
      </c>
      <c r="Y190" s="27">
        <v>92.25</v>
      </c>
      <c r="Z190" s="30">
        <f t="shared" si="46"/>
        <v>69249.762648809512</v>
      </c>
      <c r="AA190" s="24">
        <f t="shared" si="43"/>
        <v>194.72966269841265</v>
      </c>
      <c r="AB190" s="21">
        <v>90.7</v>
      </c>
      <c r="AC190" s="22">
        <f t="shared" si="47"/>
        <v>68086.21650132275</v>
      </c>
      <c r="AD190" s="24">
        <f t="shared" si="44"/>
        <v>191.45778218694883</v>
      </c>
      <c r="AE190" s="30" t="s">
        <v>60</v>
      </c>
      <c r="AF190" s="30" t="s">
        <v>64</v>
      </c>
      <c r="AG190" s="22">
        <v>54</v>
      </c>
      <c r="AH190" s="22">
        <v>108</v>
      </c>
      <c r="AI190" s="22">
        <v>125</v>
      </c>
      <c r="AJ190" s="22">
        <v>142</v>
      </c>
      <c r="AK190" s="22">
        <v>130</v>
      </c>
      <c r="AL190" s="22">
        <v>40</v>
      </c>
      <c r="AM190" s="22">
        <v>10</v>
      </c>
      <c r="AN190" s="25">
        <v>94.7</v>
      </c>
      <c r="AO190" s="25">
        <v>74.7</v>
      </c>
      <c r="AP190" s="26">
        <v>106.85</v>
      </c>
      <c r="AQ190" s="25">
        <f t="shared" si="48"/>
        <v>126</v>
      </c>
      <c r="AR190" s="25">
        <f>123.75+3</f>
        <v>126.75</v>
      </c>
      <c r="AS190" s="25">
        <f t="shared" si="50"/>
        <v>127.5</v>
      </c>
      <c r="AT190" s="25">
        <v>96.82</v>
      </c>
    </row>
    <row r="191" spans="2:46">
      <c r="B191" s="11">
        <v>46193</v>
      </c>
      <c r="C191" s="29">
        <v>94.33</v>
      </c>
      <c r="D191" s="20">
        <v>88.6</v>
      </c>
      <c r="E191" s="22">
        <f t="shared" si="34"/>
        <v>65523.439716931207</v>
      </c>
      <c r="F191" s="20">
        <v>79.67</v>
      </c>
      <c r="G191" s="22">
        <f t="shared" si="52"/>
        <v>58919.327790608462</v>
      </c>
      <c r="H191" s="20">
        <v>63000</v>
      </c>
      <c r="I191" s="24">
        <f t="shared" si="35"/>
        <v>177.15539058545639</v>
      </c>
      <c r="J191" s="20">
        <v>64700</v>
      </c>
      <c r="K191" s="24">
        <f t="shared" si="36"/>
        <v>181.93577414093696</v>
      </c>
      <c r="L191" s="20">
        <v>65700</v>
      </c>
      <c r="M191" s="24">
        <f t="shared" si="37"/>
        <v>184.74776446769022</v>
      </c>
      <c r="N191" s="20">
        <v>85000</v>
      </c>
      <c r="O191" s="24">
        <f t="shared" si="38"/>
        <v>239.01917777402846</v>
      </c>
      <c r="P191" s="22">
        <v>19000</v>
      </c>
      <c r="Q191" s="24">
        <f t="shared" si="39"/>
        <v>53.427816208312244</v>
      </c>
      <c r="R191" s="22">
        <v>16000</v>
      </c>
      <c r="S191" s="24">
        <f t="shared" si="40"/>
        <v>44.991845228052412</v>
      </c>
      <c r="T191" s="22">
        <v>300</v>
      </c>
      <c r="U191" s="24">
        <f t="shared" si="41"/>
        <v>0.84359709802598282</v>
      </c>
      <c r="V191" s="27">
        <v>94.85</v>
      </c>
      <c r="W191" s="30">
        <f t="shared" si="51"/>
        <v>70145.578523148142</v>
      </c>
      <c r="X191" s="24">
        <f t="shared" si="42"/>
        <v>197.24868827160492</v>
      </c>
      <c r="Y191" s="27">
        <v>92.25</v>
      </c>
      <c r="Z191" s="30">
        <f t="shared" si="46"/>
        <v>68222.7687797619</v>
      </c>
      <c r="AA191" s="24">
        <f t="shared" si="43"/>
        <v>191.84176587301585</v>
      </c>
      <c r="AB191" s="21">
        <v>90.7</v>
      </c>
      <c r="AC191" s="22">
        <f t="shared" si="47"/>
        <v>67076.478355820102</v>
      </c>
      <c r="AD191" s="24">
        <f t="shared" si="44"/>
        <v>188.61840828924161</v>
      </c>
      <c r="AE191" s="30" t="s">
        <v>60</v>
      </c>
      <c r="AF191" s="30" t="s">
        <v>64</v>
      </c>
      <c r="AG191" s="22">
        <v>54</v>
      </c>
      <c r="AH191" s="22">
        <v>108</v>
      </c>
      <c r="AI191" s="22">
        <v>125</v>
      </c>
      <c r="AJ191" s="22">
        <v>142</v>
      </c>
      <c r="AK191" s="22">
        <v>130</v>
      </c>
      <c r="AL191" s="22">
        <v>40</v>
      </c>
      <c r="AM191" s="22">
        <v>10</v>
      </c>
      <c r="AN191" s="25">
        <v>87.5</v>
      </c>
      <c r="AO191" s="25">
        <v>68</v>
      </c>
      <c r="AP191" s="26">
        <v>98.38</v>
      </c>
      <c r="AQ191" s="25">
        <f t="shared" si="48"/>
        <v>123.55</v>
      </c>
      <c r="AR191" s="25">
        <f>126.8-2.5</f>
        <v>124.3</v>
      </c>
      <c r="AS191" s="25">
        <f t="shared" si="50"/>
        <v>125.05</v>
      </c>
      <c r="AT191" s="25">
        <v>80.569999999999993</v>
      </c>
    </row>
    <row r="192" spans="2:46">
      <c r="B192" s="11">
        <v>46198</v>
      </c>
      <c r="C192" s="29">
        <v>94.54</v>
      </c>
      <c r="D192" s="20">
        <v>87.55</v>
      </c>
      <c r="E192" s="22">
        <f t="shared" si="34"/>
        <v>64891.061744708997</v>
      </c>
      <c r="F192" s="20">
        <v>76.19</v>
      </c>
      <c r="G192" s="22">
        <f t="shared" si="52"/>
        <v>56471.159272751327</v>
      </c>
      <c r="H192" s="20">
        <v>64000</v>
      </c>
      <c r="I192" s="24">
        <f t="shared" si="35"/>
        <v>179.96738091220965</v>
      </c>
      <c r="J192" s="20">
        <v>66000</v>
      </c>
      <c r="K192" s="24">
        <f t="shared" si="36"/>
        <v>185.5913615657162</v>
      </c>
      <c r="L192" s="20">
        <v>67000</v>
      </c>
      <c r="M192" s="24">
        <f t="shared" si="37"/>
        <v>188.40335189246949</v>
      </c>
      <c r="N192" s="20">
        <v>85000</v>
      </c>
      <c r="O192" s="24">
        <f t="shared" si="38"/>
        <v>239.01917777402846</v>
      </c>
      <c r="P192" s="22">
        <v>16000</v>
      </c>
      <c r="Q192" s="24">
        <f t="shared" si="39"/>
        <v>44.991845228052412</v>
      </c>
      <c r="R192" s="22">
        <v>16000</v>
      </c>
      <c r="S192" s="24">
        <f t="shared" si="40"/>
        <v>44.991845228052412</v>
      </c>
      <c r="T192" s="22">
        <v>300</v>
      </c>
      <c r="U192" s="24">
        <f t="shared" si="41"/>
        <v>0.84359709802598282</v>
      </c>
      <c r="V192" s="27">
        <v>95.9</v>
      </c>
      <c r="W192" s="30">
        <f t="shared" si="51"/>
        <v>71079.986537037039</v>
      </c>
      <c r="X192" s="24">
        <f t="shared" si="42"/>
        <v>199.87623456790124</v>
      </c>
      <c r="Y192" s="27">
        <v>95.16</v>
      </c>
      <c r="Z192" s="30">
        <f t="shared" si="46"/>
        <v>70531.506974603166</v>
      </c>
      <c r="AA192" s="24">
        <f t="shared" si="43"/>
        <v>198.33391534391532</v>
      </c>
      <c r="AB192" s="21">
        <v>91.3</v>
      </c>
      <c r="AC192" s="22">
        <f t="shared" si="47"/>
        <v>67670.518986772484</v>
      </c>
      <c r="AD192" s="24">
        <f t="shared" si="44"/>
        <v>190.28884479717811</v>
      </c>
      <c r="AE192" s="30" t="s">
        <v>60</v>
      </c>
      <c r="AF192" s="30" t="s">
        <v>64</v>
      </c>
      <c r="AG192" s="22">
        <v>54</v>
      </c>
      <c r="AH192" s="22">
        <v>110</v>
      </c>
      <c r="AI192" s="22">
        <v>125</v>
      </c>
      <c r="AJ192" s="22">
        <v>142</v>
      </c>
      <c r="AK192" s="22">
        <v>115</v>
      </c>
      <c r="AL192" s="22">
        <v>40</v>
      </c>
      <c r="AM192" s="22">
        <v>10</v>
      </c>
      <c r="AN192" s="25">
        <v>80.8</v>
      </c>
      <c r="AO192" s="25">
        <v>68</v>
      </c>
      <c r="AP192" s="26">
        <v>92.61</v>
      </c>
      <c r="AQ192" s="25"/>
      <c r="AR192" s="25"/>
      <c r="AS192" s="25"/>
      <c r="AT192" s="25">
        <v>73.599999999999994</v>
      </c>
    </row>
    <row r="200" spans="3:12" ht="14.5" thickBot="1"/>
    <row r="201" spans="3:12" ht="18.5">
      <c r="C201" s="39"/>
      <c r="D201" s="40"/>
      <c r="E201" s="40"/>
      <c r="F201" s="40"/>
      <c r="G201" s="40"/>
      <c r="H201" s="41"/>
      <c r="I201" s="42"/>
    </row>
    <row r="202" spans="3:12" ht="18.5">
      <c r="C202" s="43" t="s">
        <v>74</v>
      </c>
      <c r="D202" s="44"/>
      <c r="E202" s="44"/>
      <c r="F202" s="44"/>
      <c r="G202" s="42"/>
      <c r="H202" s="45"/>
      <c r="I202" s="42"/>
    </row>
    <row r="203" spans="3:12" ht="18.5">
      <c r="C203" s="43" t="s">
        <v>75</v>
      </c>
      <c r="D203" s="44"/>
      <c r="E203" s="44"/>
      <c r="F203" s="42"/>
      <c r="G203" s="42"/>
      <c r="H203" s="45"/>
      <c r="I203" s="42"/>
    </row>
    <row r="204" spans="3:12" ht="19" thickBot="1">
      <c r="C204" s="46" t="s">
        <v>76</v>
      </c>
      <c r="D204" s="47"/>
      <c r="E204" s="47"/>
      <c r="F204" s="48"/>
      <c r="G204" s="48"/>
      <c r="H204" s="49"/>
      <c r="I204" s="42"/>
    </row>
    <row r="205" spans="3:12" ht="14.5" thickBot="1"/>
    <row r="206" spans="3:12" ht="18.5">
      <c r="C206" s="39"/>
      <c r="D206" s="40"/>
      <c r="E206" s="40"/>
      <c r="F206" s="40"/>
      <c r="G206" s="40"/>
      <c r="H206" s="41"/>
      <c r="I206" s="40"/>
      <c r="J206" s="40"/>
      <c r="K206" s="40"/>
      <c r="L206" s="41"/>
    </row>
    <row r="207" spans="3:12" ht="18.5">
      <c r="C207" s="50" t="s">
        <v>77</v>
      </c>
      <c r="D207" s="42"/>
      <c r="E207" s="51" t="s">
        <v>78</v>
      </c>
      <c r="F207" s="51"/>
      <c r="G207" s="52"/>
      <c r="H207" s="53"/>
      <c r="J207" s="51"/>
      <c r="K207" s="51"/>
      <c r="L207" s="52"/>
    </row>
    <row r="208" spans="3:12" ht="19" thickBot="1">
      <c r="C208" s="54"/>
      <c r="D208" s="48"/>
      <c r="E208" s="48"/>
      <c r="F208" s="48"/>
      <c r="G208" s="48"/>
      <c r="H208" s="49"/>
      <c r="I208" s="42"/>
      <c r="J208" s="42"/>
      <c r="K208" s="42"/>
      <c r="L208" s="45"/>
    </row>
    <row r="224" spans="3:3">
      <c r="C224" s="2" t="s">
        <v>97</v>
      </c>
    </row>
    <row r="225" spans="3:3">
      <c r="C225" s="2" t="s">
        <v>98</v>
      </c>
    </row>
    <row r="1048380" spans="36:39">
      <c r="AJ1048380" s="62"/>
      <c r="AK1048380" s="62"/>
      <c r="AL1048380" s="62"/>
      <c r="AM1048380" s="62"/>
    </row>
  </sheetData>
  <autoFilter ref="A6:BU6" xr:uid="{00000000-0001-0000-0800-000000000000}"/>
  <mergeCells count="1">
    <mergeCell ref="F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7715-A9BC-4E3A-855E-5B3D6A05454C}">
  <dimension ref="B3:AT24"/>
  <sheetViews>
    <sheetView workbookViewId="0">
      <selection activeCell="A23" sqref="A23:XFD24"/>
    </sheetView>
  </sheetViews>
  <sheetFormatPr defaultRowHeight="14.5"/>
  <sheetData>
    <row r="3" spans="2:46" s="2" customFormat="1" ht="14">
      <c r="B3" s="1"/>
      <c r="C3" s="31" t="s">
        <v>82</v>
      </c>
      <c r="D3" s="3"/>
      <c r="E3" s="31" t="s">
        <v>83</v>
      </c>
      <c r="F3" s="3"/>
      <c r="G3" s="3"/>
      <c r="M3" s="6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C3" s="3"/>
      <c r="AD3" s="3"/>
      <c r="AE3" s="3"/>
      <c r="AF3" s="3"/>
      <c r="AG3" s="3"/>
      <c r="AH3" s="3"/>
      <c r="AI3" s="3"/>
      <c r="AJ3" s="4"/>
      <c r="AK3" s="4"/>
      <c r="AL3" s="4"/>
      <c r="AM3" s="4"/>
      <c r="AN3" s="6"/>
      <c r="AO3" s="6"/>
      <c r="AP3" s="6"/>
      <c r="AQ3" s="6"/>
      <c r="AR3" s="6"/>
      <c r="AS3" s="6"/>
      <c r="AT3" s="6"/>
    </row>
    <row r="4" spans="2:46" s="2" customFormat="1" ht="14">
      <c r="B4" s="1"/>
      <c r="C4" s="61" t="s">
        <v>84</v>
      </c>
      <c r="D4" s="3"/>
      <c r="E4" s="61" t="s">
        <v>84</v>
      </c>
      <c r="F4" s="3"/>
      <c r="G4" s="3"/>
      <c r="M4" s="6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C4" s="3"/>
      <c r="AD4" s="3"/>
      <c r="AE4" s="3"/>
      <c r="AF4" s="3"/>
      <c r="AG4" s="3"/>
      <c r="AH4" s="3"/>
      <c r="AI4" s="3"/>
      <c r="AJ4" s="4"/>
      <c r="AK4" s="4"/>
      <c r="AL4" s="4"/>
      <c r="AM4" s="4"/>
      <c r="AN4" s="6"/>
      <c r="AO4" s="6"/>
      <c r="AP4" s="6"/>
      <c r="AQ4" s="6"/>
      <c r="AR4" s="6"/>
      <c r="AS4" s="6"/>
      <c r="AT4" s="6"/>
    </row>
    <row r="5" spans="2:46" s="2" customFormat="1" ht="14">
      <c r="B5" s="1"/>
      <c r="C5" s="61" t="s">
        <v>85</v>
      </c>
      <c r="D5" s="3"/>
      <c r="E5" s="61" t="s">
        <v>85</v>
      </c>
      <c r="F5" s="3"/>
      <c r="G5" s="3"/>
      <c r="M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C5" s="3"/>
      <c r="AD5" s="3"/>
      <c r="AE5" s="3"/>
      <c r="AF5" s="3"/>
      <c r="AG5" s="3"/>
      <c r="AH5" s="3"/>
      <c r="AI5" s="3"/>
      <c r="AJ5" s="4"/>
      <c r="AK5" s="4"/>
      <c r="AL5" s="4"/>
      <c r="AM5" s="4"/>
      <c r="AN5" s="6"/>
      <c r="AO5" s="6"/>
      <c r="AP5" s="6"/>
      <c r="AQ5" s="6"/>
      <c r="AR5" s="6"/>
      <c r="AS5" s="6"/>
      <c r="AT5" s="6"/>
    </row>
    <row r="6" spans="2:46" s="2" customFormat="1" ht="14">
      <c r="B6" s="1"/>
      <c r="C6" s="61" t="s">
        <v>86</v>
      </c>
      <c r="D6" s="3"/>
      <c r="E6" s="61" t="s">
        <v>87</v>
      </c>
      <c r="F6" s="3"/>
      <c r="G6" s="3"/>
      <c r="M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3"/>
      <c r="AD6" s="3"/>
      <c r="AE6" s="3"/>
      <c r="AF6" s="3"/>
      <c r="AG6" s="3"/>
      <c r="AH6" s="3"/>
      <c r="AI6" s="3"/>
      <c r="AJ6" s="4"/>
      <c r="AK6" s="4"/>
      <c r="AL6" s="4"/>
      <c r="AM6" s="4"/>
      <c r="AN6" s="6"/>
      <c r="AO6" s="6"/>
      <c r="AP6" s="6"/>
      <c r="AQ6" s="6"/>
      <c r="AR6" s="6"/>
      <c r="AS6" s="6"/>
      <c r="AT6" s="6"/>
    </row>
    <row r="7" spans="2:46" s="2" customFormat="1" ht="14">
      <c r="B7" s="1"/>
      <c r="C7" s="61" t="s">
        <v>88</v>
      </c>
      <c r="D7" s="3"/>
      <c r="E7" s="61" t="s">
        <v>89</v>
      </c>
      <c r="F7" s="3"/>
      <c r="G7" s="3"/>
      <c r="M7" s="6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C7" s="3"/>
      <c r="AD7" s="3"/>
      <c r="AE7" s="3"/>
      <c r="AF7" s="3"/>
      <c r="AG7" s="3"/>
      <c r="AH7" s="3"/>
      <c r="AI7" s="3"/>
      <c r="AJ7" s="4"/>
      <c r="AK7" s="4"/>
      <c r="AL7" s="4"/>
      <c r="AM7" s="4"/>
      <c r="AN7" s="6"/>
      <c r="AO7" s="6"/>
      <c r="AP7" s="6"/>
      <c r="AQ7" s="6"/>
      <c r="AR7" s="6"/>
      <c r="AS7" s="6"/>
      <c r="AT7" s="6"/>
    </row>
    <row r="8" spans="2:46" s="2" customFormat="1" ht="14">
      <c r="B8" s="1"/>
      <c r="C8" s="61" t="s">
        <v>90</v>
      </c>
      <c r="D8" s="3"/>
      <c r="E8" s="3"/>
      <c r="F8" s="3"/>
      <c r="G8" s="3"/>
      <c r="M8" s="6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3"/>
      <c r="AD8" s="3"/>
      <c r="AE8" s="3"/>
      <c r="AF8" s="3"/>
      <c r="AG8" s="3"/>
      <c r="AH8" s="3"/>
      <c r="AI8" s="3"/>
      <c r="AJ8" s="4"/>
      <c r="AK8" s="4"/>
      <c r="AL8" s="4"/>
      <c r="AM8" s="4"/>
      <c r="AN8" s="6"/>
      <c r="AO8" s="6"/>
      <c r="AP8" s="6"/>
      <c r="AQ8" s="6"/>
      <c r="AR8" s="6"/>
      <c r="AS8" s="6"/>
      <c r="AT8" s="6"/>
    </row>
    <row r="9" spans="2:46" s="2" customFormat="1" ht="14">
      <c r="B9" s="1"/>
      <c r="C9" s="61" t="s">
        <v>91</v>
      </c>
      <c r="D9" s="3"/>
      <c r="E9" s="3"/>
      <c r="F9" s="3"/>
      <c r="G9" s="3"/>
      <c r="M9" s="6"/>
      <c r="O9" s="6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3"/>
      <c r="AD9" s="3"/>
      <c r="AE9" s="3"/>
      <c r="AF9" s="3"/>
      <c r="AG9" s="3"/>
      <c r="AH9" s="3"/>
      <c r="AI9" s="3"/>
      <c r="AJ9" s="4"/>
      <c r="AK9" s="4"/>
      <c r="AL9" s="4"/>
      <c r="AM9" s="4"/>
      <c r="AN9" s="6"/>
      <c r="AO9" s="6"/>
      <c r="AP9" s="6"/>
      <c r="AQ9" s="6"/>
      <c r="AR9" s="6"/>
      <c r="AS9" s="6"/>
      <c r="AT9" s="6"/>
    </row>
    <row r="10" spans="2:46" s="2" customFormat="1" ht="14">
      <c r="B10" s="1"/>
      <c r="C10" s="61" t="s">
        <v>92</v>
      </c>
      <c r="D10" s="3"/>
      <c r="E10" s="3"/>
      <c r="F10" s="3"/>
      <c r="G10" s="3"/>
      <c r="M10" s="6"/>
      <c r="O10" s="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C10" s="3"/>
      <c r="AD10" s="3"/>
      <c r="AE10" s="3"/>
      <c r="AF10" s="3"/>
      <c r="AG10" s="3"/>
      <c r="AH10" s="3"/>
      <c r="AI10" s="3"/>
      <c r="AJ10" s="4"/>
      <c r="AK10" s="4"/>
      <c r="AL10" s="4"/>
      <c r="AM10" s="4"/>
      <c r="AN10" s="6"/>
      <c r="AO10" s="6"/>
      <c r="AP10" s="6"/>
      <c r="AQ10" s="6"/>
      <c r="AR10" s="6"/>
      <c r="AS10" s="6"/>
      <c r="AT10" s="6"/>
    </row>
    <row r="11" spans="2:46" s="2" customFormat="1" ht="14">
      <c r="B11" s="1"/>
      <c r="C11" s="61" t="s">
        <v>93</v>
      </c>
      <c r="D11" s="3"/>
      <c r="E11" s="3"/>
      <c r="F11" s="3"/>
      <c r="G11" s="3"/>
      <c r="M11" s="6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3"/>
      <c r="AD11" s="3"/>
      <c r="AE11" s="3"/>
      <c r="AF11" s="3"/>
      <c r="AG11" s="3"/>
      <c r="AH11" s="3"/>
      <c r="AI11" s="3"/>
      <c r="AJ11" s="4"/>
      <c r="AK11" s="4"/>
      <c r="AL11" s="4"/>
      <c r="AM11" s="4"/>
      <c r="AN11" s="6"/>
      <c r="AO11" s="6"/>
      <c r="AP11" s="6"/>
      <c r="AQ11" s="6"/>
      <c r="AR11" s="6"/>
      <c r="AS11" s="6"/>
      <c r="AT11" s="6"/>
    </row>
    <row r="14" spans="2:46" s="2" customFormat="1" ht="14">
      <c r="B14" s="1"/>
      <c r="E14" s="65"/>
      <c r="F14" s="3"/>
      <c r="G14" s="65"/>
      <c r="M14" s="6"/>
      <c r="O14" s="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3"/>
      <c r="AD14" s="3"/>
      <c r="AE14" s="3"/>
      <c r="AF14" s="3"/>
      <c r="AG14" s="3"/>
      <c r="AH14" s="3"/>
      <c r="AI14" s="3"/>
      <c r="AJ14" s="4"/>
      <c r="AK14" s="4"/>
      <c r="AL14" s="4"/>
      <c r="AM14" s="4"/>
      <c r="AN14" s="6"/>
      <c r="AO14" s="6"/>
      <c r="AP14" s="6"/>
      <c r="AQ14" s="6"/>
      <c r="AR14" s="6"/>
      <c r="AS14" s="6"/>
      <c r="AT14" s="6"/>
    </row>
    <row r="15" spans="2:46" s="2" customFormat="1" ht="14">
      <c r="B15" s="1"/>
      <c r="E15" s="3"/>
      <c r="F15" s="3"/>
      <c r="G15" s="3"/>
      <c r="I15" s="31" t="s">
        <v>65</v>
      </c>
      <c r="M15" s="6"/>
      <c r="O15" s="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C15" s="3"/>
      <c r="AD15" s="3"/>
      <c r="AE15" s="3"/>
      <c r="AF15" s="3"/>
      <c r="AG15" s="3"/>
      <c r="AH15" s="3"/>
      <c r="AI15" s="3"/>
      <c r="AJ15" s="4"/>
      <c r="AK15" s="4"/>
      <c r="AL15" s="4"/>
      <c r="AM15" s="4"/>
      <c r="AN15" s="6"/>
      <c r="AO15" s="6"/>
      <c r="AP15" s="6"/>
      <c r="AQ15" s="6"/>
      <c r="AR15" s="6"/>
      <c r="AS15" s="6"/>
      <c r="AT15" s="6"/>
    </row>
    <row r="16" spans="2:46" s="2" customFormat="1" ht="42">
      <c r="B16" s="1"/>
      <c r="E16" s="3"/>
      <c r="F16" s="3"/>
      <c r="G16" s="3"/>
      <c r="I16" s="32" t="s">
        <v>66</v>
      </c>
      <c r="J16" s="32" t="s">
        <v>67</v>
      </c>
      <c r="K16" s="32" t="s">
        <v>68</v>
      </c>
      <c r="L16" s="32" t="s">
        <v>69</v>
      </c>
      <c r="M16" s="32" t="s">
        <v>70</v>
      </c>
      <c r="O16" s="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C16" s="3"/>
      <c r="AD16" s="3"/>
      <c r="AE16" s="3"/>
      <c r="AF16" s="3"/>
      <c r="AG16" s="3"/>
      <c r="AH16" s="3"/>
      <c r="AI16" s="3"/>
      <c r="AJ16" s="4"/>
      <c r="AK16" s="4"/>
      <c r="AL16" s="4"/>
      <c r="AM16" s="4"/>
      <c r="AN16" s="6"/>
      <c r="AO16" s="6"/>
      <c r="AP16" s="6"/>
      <c r="AQ16" s="6"/>
      <c r="AR16" s="6"/>
      <c r="AS16" s="6"/>
      <c r="AT16" s="6"/>
    </row>
    <row r="17" spans="2:46" s="2" customFormat="1" ht="14">
      <c r="B17" s="1"/>
      <c r="E17" s="3"/>
      <c r="F17" s="3"/>
      <c r="G17" s="3"/>
      <c r="I17" s="33" t="s">
        <v>71</v>
      </c>
      <c r="J17" s="34">
        <v>62000</v>
      </c>
      <c r="K17" s="35">
        <v>5500</v>
      </c>
      <c r="L17" s="35">
        <f>K17+J17</f>
        <v>67500</v>
      </c>
      <c r="M17" s="36">
        <v>271</v>
      </c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3"/>
      <c r="AD17" s="3"/>
      <c r="AE17" s="3"/>
      <c r="AF17" s="3"/>
      <c r="AG17" s="3"/>
      <c r="AH17" s="3"/>
      <c r="AI17" s="3"/>
      <c r="AJ17" s="4"/>
      <c r="AK17" s="4"/>
      <c r="AL17" s="4"/>
      <c r="AM17" s="4"/>
      <c r="AN17" s="6"/>
      <c r="AO17" s="6"/>
      <c r="AP17" s="6"/>
      <c r="AQ17" s="6"/>
      <c r="AR17" s="6"/>
      <c r="AS17" s="6"/>
      <c r="AT17" s="6"/>
    </row>
    <row r="18" spans="2:46" s="2" customFormat="1" ht="14">
      <c r="B18" s="1"/>
      <c r="E18" s="3"/>
      <c r="F18" s="3"/>
      <c r="G18" s="3"/>
      <c r="I18" s="33" t="s">
        <v>72</v>
      </c>
      <c r="J18" s="34">
        <v>66000</v>
      </c>
      <c r="K18" s="35">
        <v>16000</v>
      </c>
      <c r="L18" s="35">
        <f>K18+J18</f>
        <v>82000</v>
      </c>
      <c r="M18" s="36">
        <v>329</v>
      </c>
      <c r="O18" s="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C18" s="3"/>
      <c r="AD18" s="3"/>
      <c r="AE18" s="3"/>
      <c r="AF18" s="3"/>
      <c r="AG18" s="3"/>
      <c r="AH18" s="3"/>
      <c r="AI18" s="3"/>
      <c r="AJ18" s="4"/>
      <c r="AK18" s="4"/>
      <c r="AL18" s="4"/>
      <c r="AM18" s="4"/>
      <c r="AN18" s="6"/>
      <c r="AO18" s="6"/>
      <c r="AP18" s="6"/>
      <c r="AQ18" s="6"/>
      <c r="AR18" s="6"/>
      <c r="AS18" s="6"/>
      <c r="AT18" s="6"/>
    </row>
    <row r="19" spans="2:46" s="2" customFormat="1" ht="14">
      <c r="B19" s="1"/>
      <c r="E19" s="3"/>
      <c r="F19" s="3"/>
      <c r="G19" s="3"/>
      <c r="I19" s="37" t="s">
        <v>73</v>
      </c>
      <c r="J19" s="37">
        <f>J17-J18</f>
        <v>-4000</v>
      </c>
      <c r="K19" s="37">
        <f>K17-K18</f>
        <v>-10500</v>
      </c>
      <c r="L19" s="37">
        <f>L17-L18</f>
        <v>-14500</v>
      </c>
      <c r="M19" s="38">
        <f>M17-M18</f>
        <v>-58</v>
      </c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3"/>
      <c r="AD19" s="3"/>
      <c r="AE19" s="3"/>
      <c r="AF19" s="3"/>
      <c r="AG19" s="3"/>
      <c r="AH19" s="3"/>
      <c r="AI19" s="3"/>
      <c r="AJ19" s="4"/>
      <c r="AK19" s="4"/>
      <c r="AL19" s="4"/>
      <c r="AM19" s="4"/>
      <c r="AN19" s="6"/>
      <c r="AO19" s="6"/>
      <c r="AP19" s="6"/>
      <c r="AQ19" s="6"/>
      <c r="AR19" s="6"/>
      <c r="AS19" s="6"/>
      <c r="AT19" s="6"/>
    </row>
    <row r="23" spans="2:46" s="2" customFormat="1" ht="19" thickBot="1">
      <c r="B23" s="1"/>
      <c r="C23" s="54" t="s">
        <v>79</v>
      </c>
      <c r="D23" s="48"/>
      <c r="E23" s="48"/>
      <c r="F23" s="48"/>
      <c r="G23" s="48"/>
      <c r="H23" s="55" t="s">
        <v>80</v>
      </c>
      <c r="I23" s="55"/>
      <c r="J23" s="55"/>
      <c r="K23" s="55"/>
      <c r="L23" s="56"/>
      <c r="M23" s="6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C23" s="3"/>
      <c r="AD23" s="3"/>
      <c r="AE23" s="3"/>
      <c r="AF23" s="3"/>
      <c r="AG23" s="3"/>
      <c r="AH23" s="3"/>
      <c r="AI23" s="3"/>
      <c r="AJ23" s="4"/>
      <c r="AK23" s="4"/>
      <c r="AL23" s="4"/>
      <c r="AM23" s="4"/>
      <c r="AN23" s="6"/>
      <c r="AO23" s="6"/>
      <c r="AP23" s="6"/>
      <c r="AQ23" s="6"/>
      <c r="AR23" s="6"/>
      <c r="AS23" s="6"/>
      <c r="AT23" s="6"/>
    </row>
    <row r="24" spans="2:46" s="2" customFormat="1" ht="19" thickBot="1">
      <c r="B24" s="1"/>
      <c r="C24" s="57" t="s">
        <v>79</v>
      </c>
      <c r="D24" s="58"/>
      <c r="E24" s="58"/>
      <c r="F24" s="58"/>
      <c r="G24" s="58"/>
      <c r="H24" s="59" t="s">
        <v>81</v>
      </c>
      <c r="I24" s="59"/>
      <c r="J24" s="59"/>
      <c r="K24" s="59"/>
      <c r="L24" s="60"/>
      <c r="M24" s="6"/>
      <c r="O24" s="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C24" s="3"/>
      <c r="AD24" s="3"/>
      <c r="AE24" s="3"/>
      <c r="AF24" s="3"/>
      <c r="AG24" s="3"/>
      <c r="AH24" s="3"/>
      <c r="AI24" s="3"/>
      <c r="AJ24" s="4"/>
      <c r="AK24" s="4"/>
      <c r="AL24" s="4"/>
      <c r="AM24" s="4"/>
      <c r="AN24" s="6"/>
      <c r="AO24" s="6"/>
      <c r="AP24" s="6"/>
      <c r="AQ24" s="6"/>
      <c r="AR24" s="6"/>
      <c r="AS24" s="6"/>
      <c r="AT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Trend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Savekar</dc:creator>
  <cp:lastModifiedBy>Anupam Kumar</cp:lastModifiedBy>
  <dcterms:created xsi:type="dcterms:W3CDTF">2026-06-29T07:43:45Z</dcterms:created>
  <dcterms:modified xsi:type="dcterms:W3CDTF">2026-06-29T08:00:22Z</dcterms:modified>
</cp:coreProperties>
</file>